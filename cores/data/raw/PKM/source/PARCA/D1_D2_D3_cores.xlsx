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8060" windowHeight="13170" activeTab="2"/>
  </bookViews>
  <sheets>
    <sheet name="D1" sheetId="1" r:id="rId1"/>
    <sheet name="D2" sheetId="2" r:id="rId2"/>
    <sheet name="D3" sheetId="3" r:id="rId3"/>
  </sheets>
  <calcPr calcId="145621"/>
</workbook>
</file>

<file path=xl/calcChain.xml><?xml version="1.0" encoding="utf-8"?>
<calcChain xmlns="http://schemas.openxmlformats.org/spreadsheetml/2006/main">
  <c r="H98" i="1" l="1"/>
  <c r="H96" i="1"/>
  <c r="H93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2" i="1"/>
  <c r="H71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" i="1"/>
  <c r="H5" i="1"/>
  <c r="H104" i="2"/>
  <c r="H103" i="2"/>
  <c r="H102" i="2"/>
  <c r="H101" i="2"/>
  <c r="H100" i="2"/>
  <c r="H99" i="2"/>
  <c r="H98" i="2"/>
  <c r="H97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5" i="2"/>
  <c r="H52" i="3"/>
  <c r="H56" i="3"/>
  <c r="H60" i="3"/>
  <c r="H64" i="3"/>
  <c r="H68" i="3"/>
  <c r="H72" i="3"/>
  <c r="H76" i="3"/>
  <c r="H79" i="3"/>
  <c r="H80" i="3"/>
  <c r="H81" i="3"/>
  <c r="H84" i="3"/>
  <c r="H85" i="3"/>
  <c r="H88" i="3"/>
  <c r="H89" i="3"/>
  <c r="E104" i="3"/>
  <c r="H104" i="3" s="1"/>
  <c r="E103" i="3"/>
  <c r="H103" i="3" s="1"/>
  <c r="E102" i="3"/>
  <c r="E101" i="3"/>
  <c r="H101" i="3" s="1"/>
  <c r="E100" i="3"/>
  <c r="H100" i="3" s="1"/>
  <c r="E99" i="3"/>
  <c r="H99" i="3" s="1"/>
  <c r="E98" i="3"/>
  <c r="H98" i="3" s="1"/>
  <c r="E97" i="3"/>
  <c r="H97" i="3" s="1"/>
  <c r="E96" i="3"/>
  <c r="H96" i="3" s="1"/>
  <c r="E95" i="3"/>
  <c r="H95" i="3" s="1"/>
  <c r="E94" i="3"/>
  <c r="H94" i="3" s="1"/>
  <c r="E93" i="3"/>
  <c r="H93" i="3" s="1"/>
  <c r="E92" i="3"/>
  <c r="E91" i="3"/>
  <c r="H91" i="3" s="1"/>
  <c r="E90" i="3"/>
  <c r="E89" i="3"/>
  <c r="E88" i="3"/>
  <c r="E87" i="3"/>
  <c r="H87" i="3" s="1"/>
  <c r="E86" i="3"/>
  <c r="H86" i="3" s="1"/>
  <c r="E85" i="3"/>
  <c r="E84" i="3"/>
  <c r="E83" i="3"/>
  <c r="H83" i="3" s="1"/>
  <c r="E82" i="3"/>
  <c r="H82" i="3" s="1"/>
  <c r="E81" i="3"/>
  <c r="E80" i="3"/>
  <c r="E78" i="3"/>
  <c r="H78" i="3" s="1"/>
  <c r="E77" i="3"/>
  <c r="H77" i="3" s="1"/>
  <c r="E76" i="3"/>
  <c r="E75" i="3"/>
  <c r="H75" i="3" s="1"/>
  <c r="E74" i="3"/>
  <c r="H74" i="3" s="1"/>
  <c r="E73" i="3"/>
  <c r="H73" i="3" s="1"/>
  <c r="E72" i="3"/>
  <c r="E71" i="3"/>
  <c r="H71" i="3" s="1"/>
  <c r="E70" i="3"/>
  <c r="H70" i="3" s="1"/>
  <c r="E69" i="3"/>
  <c r="H69" i="3" s="1"/>
  <c r="E68" i="3"/>
  <c r="E67" i="3"/>
  <c r="H67" i="3" s="1"/>
  <c r="E66" i="3"/>
  <c r="H66" i="3" s="1"/>
  <c r="E65" i="3"/>
  <c r="H65" i="3" s="1"/>
  <c r="E64" i="3"/>
  <c r="E63" i="3"/>
  <c r="H63" i="3" s="1"/>
  <c r="E62" i="3"/>
  <c r="H62" i="3" s="1"/>
  <c r="E61" i="3"/>
  <c r="H61" i="3" s="1"/>
  <c r="E60" i="3"/>
  <c r="E59" i="3"/>
  <c r="H59" i="3" s="1"/>
  <c r="E58" i="3"/>
  <c r="H58" i="3" s="1"/>
  <c r="E57" i="3"/>
  <c r="H57" i="3" s="1"/>
  <c r="E56" i="3"/>
  <c r="E55" i="3"/>
  <c r="H55" i="3" s="1"/>
  <c r="E54" i="3"/>
  <c r="H54" i="3" s="1"/>
  <c r="E53" i="3"/>
  <c r="H53" i="3" s="1"/>
  <c r="E52" i="3"/>
  <c r="E51" i="3"/>
  <c r="H51" i="3" s="1"/>
  <c r="E50" i="3"/>
  <c r="H50" i="3" s="1"/>
  <c r="E49" i="3"/>
  <c r="H49" i="3" s="1"/>
  <c r="E48" i="3"/>
  <c r="H48" i="3" s="1"/>
  <c r="E47" i="3"/>
  <c r="H47" i="3" s="1"/>
  <c r="E46" i="3"/>
  <c r="H46" i="3" s="1"/>
  <c r="E45" i="3"/>
  <c r="H45" i="3" s="1"/>
  <c r="E44" i="3"/>
  <c r="H44" i="3" s="1"/>
  <c r="E43" i="3"/>
  <c r="H43" i="3" s="1"/>
  <c r="E42" i="3"/>
  <c r="H42" i="3" s="1"/>
  <c r="E41" i="3"/>
  <c r="H41" i="3" s="1"/>
  <c r="E40" i="3"/>
  <c r="H40" i="3" s="1"/>
  <c r="E39" i="3"/>
  <c r="H39" i="3" s="1"/>
  <c r="E38" i="3"/>
  <c r="H38" i="3" s="1"/>
  <c r="E37" i="3"/>
  <c r="H37" i="3" s="1"/>
  <c r="E36" i="3"/>
  <c r="H36" i="3" s="1"/>
  <c r="E35" i="3"/>
  <c r="H35" i="3" s="1"/>
  <c r="E34" i="3"/>
  <c r="H34" i="3" s="1"/>
  <c r="E33" i="3"/>
  <c r="H33" i="3" s="1"/>
  <c r="E32" i="3"/>
  <c r="H32" i="3" s="1"/>
  <c r="E31" i="3"/>
  <c r="H31" i="3" s="1"/>
  <c r="E30" i="3"/>
  <c r="H30" i="3" s="1"/>
  <c r="E29" i="3"/>
  <c r="H29" i="3" s="1"/>
  <c r="E28" i="3"/>
  <c r="H28" i="3" s="1"/>
  <c r="E27" i="3"/>
  <c r="H27" i="3" s="1"/>
  <c r="E26" i="3"/>
  <c r="H26" i="3" s="1"/>
  <c r="E25" i="3"/>
  <c r="H25" i="3" s="1"/>
  <c r="E24" i="3"/>
  <c r="H24" i="3" s="1"/>
  <c r="E23" i="3"/>
  <c r="H23" i="3" s="1"/>
  <c r="E22" i="3"/>
  <c r="H22" i="3" s="1"/>
  <c r="E21" i="3"/>
  <c r="H21" i="3" s="1"/>
  <c r="E20" i="3"/>
  <c r="H20" i="3" s="1"/>
  <c r="E19" i="3"/>
  <c r="H19" i="3" s="1"/>
  <c r="E18" i="3"/>
  <c r="H18" i="3" s="1"/>
  <c r="E17" i="3"/>
  <c r="H17" i="3" s="1"/>
  <c r="E16" i="3"/>
  <c r="H16" i="3" s="1"/>
  <c r="E15" i="3"/>
  <c r="H15" i="3" s="1"/>
  <c r="E14" i="3"/>
  <c r="H14" i="3" s="1"/>
  <c r="E13" i="3"/>
  <c r="H13" i="3" s="1"/>
  <c r="E12" i="3"/>
  <c r="H12" i="3" s="1"/>
  <c r="E11" i="3"/>
  <c r="H11" i="3" s="1"/>
  <c r="E10" i="3"/>
  <c r="H10" i="3" s="1"/>
  <c r="E9" i="3"/>
  <c r="H9" i="3" s="1"/>
  <c r="E8" i="3"/>
  <c r="H8" i="3" s="1"/>
  <c r="E7" i="3"/>
  <c r="H7" i="3" s="1"/>
  <c r="E6" i="3"/>
  <c r="H6" i="3" s="1"/>
  <c r="D6" i="3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D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</calcChain>
</file>

<file path=xl/sharedStrings.xml><?xml version="1.0" encoding="utf-8"?>
<sst xmlns="http://schemas.openxmlformats.org/spreadsheetml/2006/main" count="96" uniqueCount="36">
  <si>
    <t>Core D-1</t>
  </si>
  <si>
    <t>Tube no</t>
  </si>
  <si>
    <t>no pieces</t>
  </si>
  <si>
    <t>length</t>
  </si>
  <si>
    <t>dep top</t>
  </si>
  <si>
    <t>diameter</t>
  </si>
  <si>
    <t>mass</t>
  </si>
  <si>
    <t>density</t>
  </si>
  <si>
    <t>m</t>
  </si>
  <si>
    <t>cm</t>
  </si>
  <si>
    <t>kg</t>
  </si>
  <si>
    <t>3+chip</t>
  </si>
  <si>
    <t>2+chip</t>
  </si>
  <si>
    <t>6+chip</t>
  </si>
  <si>
    <t>4+chip</t>
  </si>
  <si>
    <t>5+chip</t>
  </si>
  <si>
    <t xml:space="preserve">at this point we began to have drill problems </t>
  </si>
  <si>
    <t xml:space="preserve">and I prefer not to use runs for density </t>
  </si>
  <si>
    <t>Lat</t>
  </si>
  <si>
    <t>Lon</t>
  </si>
  <si>
    <t>Elev</t>
  </si>
  <si>
    <t>64 30 00N</t>
  </si>
  <si>
    <t>43 30 00W</t>
  </si>
  <si>
    <t>Core D2</t>
  </si>
  <si>
    <t>2+wafer</t>
  </si>
  <si>
    <t>3+fract pc</t>
  </si>
  <si>
    <t>4+side slice</t>
  </si>
  <si>
    <t>3+2chips</t>
  </si>
  <si>
    <t>4+slab</t>
  </si>
  <si>
    <t xml:space="preserve"> </t>
  </si>
  <si>
    <t>Core D3</t>
  </si>
  <si>
    <t>kg/m3</t>
  </si>
  <si>
    <t>71 48 00N</t>
  </si>
  <si>
    <t>46 12 00W</t>
  </si>
  <si>
    <t>69 48 00N</t>
  </si>
  <si>
    <t>44 00 00W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</si>
</sst>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2" fontId="0" fillId="0" borderId="0" xfId="0" applyNumberFormat="1"/>
    <xf numFmtId="0" fontId="2" fillId="0" borderId="0" xfId="0" applyFont="1"/>
    <xf numFmtId="1" fontId="0" fillId="0" borderId="0" xfId="0" applyNumberForma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workbookViewId="0">
      <selection activeCell="H5" sqref="H5"/>
    </sheetView>
  </sheetViews>
  <sheetFormatPr defaultRowHeight="15" x14ac:dyDescent="0.25"/>
  <cols>
    <col min="8" max="8" width="10.5703125" bestFit="1" customWidth="1"/>
    <col min="262" max="263" width="8.85546875" customWidth="1"/>
    <col min="518" max="519" width="8.85546875" customWidth="1"/>
    <col min="774" max="775" width="8.85546875" customWidth="1"/>
    <col min="1030" max="1031" width="8.85546875" customWidth="1"/>
    <col min="1286" max="1287" width="8.85546875" customWidth="1"/>
    <col min="1542" max="1543" width="8.85546875" customWidth="1"/>
    <col min="1798" max="1799" width="8.85546875" customWidth="1"/>
    <col min="2054" max="2055" width="8.85546875" customWidth="1"/>
    <col min="2310" max="2311" width="8.85546875" customWidth="1"/>
    <col min="2566" max="2567" width="8.85546875" customWidth="1"/>
    <col min="2822" max="2823" width="8.85546875" customWidth="1"/>
    <col min="3078" max="3079" width="8.85546875" customWidth="1"/>
    <col min="3334" max="3335" width="8.85546875" customWidth="1"/>
    <col min="3590" max="3591" width="8.85546875" customWidth="1"/>
    <col min="3846" max="3847" width="8.85546875" customWidth="1"/>
    <col min="4102" max="4103" width="8.85546875" customWidth="1"/>
    <col min="4358" max="4359" width="8.85546875" customWidth="1"/>
    <col min="4614" max="4615" width="8.85546875" customWidth="1"/>
    <col min="4870" max="4871" width="8.85546875" customWidth="1"/>
    <col min="5126" max="5127" width="8.85546875" customWidth="1"/>
    <col min="5382" max="5383" width="8.85546875" customWidth="1"/>
    <col min="5638" max="5639" width="8.85546875" customWidth="1"/>
    <col min="5894" max="5895" width="8.85546875" customWidth="1"/>
    <col min="6150" max="6151" width="8.85546875" customWidth="1"/>
    <col min="6406" max="6407" width="8.85546875" customWidth="1"/>
    <col min="6662" max="6663" width="8.85546875" customWidth="1"/>
    <col min="6918" max="6919" width="8.85546875" customWidth="1"/>
    <col min="7174" max="7175" width="8.85546875" customWidth="1"/>
    <col min="7430" max="7431" width="8.85546875" customWidth="1"/>
    <col min="7686" max="7687" width="8.85546875" customWidth="1"/>
    <col min="7942" max="7943" width="8.85546875" customWidth="1"/>
    <col min="8198" max="8199" width="8.85546875" customWidth="1"/>
    <col min="8454" max="8455" width="8.85546875" customWidth="1"/>
    <col min="8710" max="8711" width="8.85546875" customWidth="1"/>
    <col min="8966" max="8967" width="8.85546875" customWidth="1"/>
    <col min="9222" max="9223" width="8.85546875" customWidth="1"/>
    <col min="9478" max="9479" width="8.85546875" customWidth="1"/>
    <col min="9734" max="9735" width="8.85546875" customWidth="1"/>
    <col min="9990" max="9991" width="8.85546875" customWidth="1"/>
    <col min="10246" max="10247" width="8.85546875" customWidth="1"/>
    <col min="10502" max="10503" width="8.85546875" customWidth="1"/>
    <col min="10758" max="10759" width="8.85546875" customWidth="1"/>
    <col min="11014" max="11015" width="8.85546875" customWidth="1"/>
    <col min="11270" max="11271" width="8.85546875" customWidth="1"/>
    <col min="11526" max="11527" width="8.85546875" customWidth="1"/>
    <col min="11782" max="11783" width="8.85546875" customWidth="1"/>
    <col min="12038" max="12039" width="8.85546875" customWidth="1"/>
    <col min="12294" max="12295" width="8.85546875" customWidth="1"/>
    <col min="12550" max="12551" width="8.85546875" customWidth="1"/>
    <col min="12806" max="12807" width="8.85546875" customWidth="1"/>
    <col min="13062" max="13063" width="8.85546875" customWidth="1"/>
    <col min="13318" max="13319" width="8.85546875" customWidth="1"/>
    <col min="13574" max="13575" width="8.85546875" customWidth="1"/>
    <col min="13830" max="13831" width="8.85546875" customWidth="1"/>
    <col min="14086" max="14087" width="8.85546875" customWidth="1"/>
    <col min="14342" max="14343" width="8.85546875" customWidth="1"/>
    <col min="14598" max="14599" width="8.85546875" customWidth="1"/>
    <col min="14854" max="14855" width="8.85546875" customWidth="1"/>
    <col min="15110" max="15111" width="8.85546875" customWidth="1"/>
    <col min="15366" max="15367" width="8.85546875" customWidth="1"/>
    <col min="15622" max="15623" width="8.85546875" customWidth="1"/>
    <col min="15878" max="15879" width="8.85546875" customWidth="1"/>
    <col min="16134" max="16135" width="8.85546875" customWidth="1"/>
  </cols>
  <sheetData>
    <row r="1" spans="1:8" x14ac:dyDescent="0.25">
      <c r="A1" t="s">
        <v>0</v>
      </c>
      <c r="C1" t="s">
        <v>18</v>
      </c>
      <c r="D1" s="4" t="s">
        <v>21</v>
      </c>
      <c r="E1" t="s">
        <v>19</v>
      </c>
      <c r="F1" s="4" t="s">
        <v>22</v>
      </c>
      <c r="G1" t="s">
        <v>20</v>
      </c>
      <c r="H1" s="4">
        <v>2580</v>
      </c>
    </row>
    <row r="2" spans="1:8" x14ac:dyDescent="0.25">
      <c r="C2" s="2"/>
      <c r="D2" s="2" t="s">
        <v>29</v>
      </c>
      <c r="E2" s="2" t="s">
        <v>29</v>
      </c>
    </row>
    <row r="3" spans="1:8" x14ac:dyDescent="0.25">
      <c r="A3" t="s">
        <v>1</v>
      </c>
      <c r="B3" t="s">
        <v>2</v>
      </c>
      <c r="C3" s="3" t="s">
        <v>3</v>
      </c>
      <c r="D3" s="1" t="s">
        <v>4</v>
      </c>
      <c r="E3" s="3" t="s">
        <v>3</v>
      </c>
      <c r="F3" s="1" t="s">
        <v>5</v>
      </c>
      <c r="G3" s="1" t="s">
        <v>6</v>
      </c>
      <c r="H3" s="3" t="s">
        <v>7</v>
      </c>
    </row>
    <row r="4" spans="1:8" x14ac:dyDescent="0.25">
      <c r="C4" s="3" t="s">
        <v>8</v>
      </c>
      <c r="D4" s="1" t="s">
        <v>8</v>
      </c>
      <c r="E4" s="3" t="s">
        <v>8</v>
      </c>
      <c r="F4" s="1" t="s">
        <v>8</v>
      </c>
      <c r="G4" s="1" t="s">
        <v>10</v>
      </c>
      <c r="H4" s="3" t="s">
        <v>31</v>
      </c>
    </row>
    <row r="5" spans="1:8" x14ac:dyDescent="0.25">
      <c r="A5">
        <v>1</v>
      </c>
      <c r="B5">
        <v>4</v>
      </c>
      <c r="C5" s="3">
        <v>1.05</v>
      </c>
      <c r="D5" s="1">
        <v>0</v>
      </c>
      <c r="E5" s="3">
        <v>1.05</v>
      </c>
      <c r="F5">
        <v>9.6099999999999991E-2</v>
      </c>
      <c r="G5" s="1">
        <v>3.19</v>
      </c>
      <c r="H5" s="3">
        <f>G5/(E5*((F5/2)^2)*3.1417)</f>
        <v>418.84167521695599</v>
      </c>
    </row>
    <row r="6" spans="1:8" x14ac:dyDescent="0.25">
      <c r="A6">
        <f>+A5+1</f>
        <v>2</v>
      </c>
      <c r="B6">
        <v>3</v>
      </c>
      <c r="C6" s="3">
        <v>1.05</v>
      </c>
      <c r="D6" s="1">
        <f>+D5+C5</f>
        <v>1.05</v>
      </c>
      <c r="E6" s="3">
        <v>1.05</v>
      </c>
      <c r="G6" s="1">
        <v>3.0009999999999999</v>
      </c>
      <c r="H6" s="3"/>
    </row>
    <row r="7" spans="1:8" x14ac:dyDescent="0.25">
      <c r="A7">
        <f t="shared" ref="A7:A70" si="0">+A6+1</f>
        <v>3</v>
      </c>
      <c r="B7">
        <v>2</v>
      </c>
      <c r="C7" s="3">
        <v>1.03</v>
      </c>
      <c r="D7" s="1">
        <f t="shared" ref="D7:D70" si="1">+D6+C6</f>
        <v>2.1</v>
      </c>
      <c r="E7" s="3">
        <v>1.03</v>
      </c>
      <c r="F7">
        <v>9.9000000000000005E-2</v>
      </c>
      <c r="G7" s="1">
        <v>3.8479999999999999</v>
      </c>
      <c r="H7" s="3">
        <f>G7/(E7*((F7/2)^2)*3.1417)</f>
        <v>485.31389835458532</v>
      </c>
    </row>
    <row r="8" spans="1:8" x14ac:dyDescent="0.25">
      <c r="A8">
        <f t="shared" si="0"/>
        <v>4</v>
      </c>
      <c r="B8">
        <v>3</v>
      </c>
      <c r="C8" s="3">
        <v>1.04</v>
      </c>
      <c r="D8" s="1">
        <f t="shared" si="1"/>
        <v>3.13</v>
      </c>
      <c r="E8" s="3">
        <v>1.04</v>
      </c>
      <c r="F8">
        <v>0.1</v>
      </c>
      <c r="G8" s="1">
        <v>4</v>
      </c>
      <c r="H8" s="3">
        <f t="shared" ref="H8:H71" si="2">G8/(E8*((F8/2)^2)*3.1417)</f>
        <v>489.69078475396697</v>
      </c>
    </row>
    <row r="9" spans="1:8" x14ac:dyDescent="0.25">
      <c r="A9">
        <f t="shared" si="0"/>
        <v>5</v>
      </c>
      <c r="B9">
        <v>3</v>
      </c>
      <c r="C9" s="3">
        <v>1.01</v>
      </c>
      <c r="D9" s="1">
        <f t="shared" si="1"/>
        <v>4.17</v>
      </c>
      <c r="E9" s="3">
        <v>1.01</v>
      </c>
      <c r="F9">
        <v>9.8000000000000004E-2</v>
      </c>
      <c r="G9" s="1">
        <v>3.9169999999999998</v>
      </c>
      <c r="H9" s="3">
        <f t="shared" si="2"/>
        <v>514.13281698749188</v>
      </c>
    </row>
    <row r="10" spans="1:8" x14ac:dyDescent="0.25">
      <c r="A10">
        <f t="shared" si="0"/>
        <v>6</v>
      </c>
      <c r="B10">
        <v>4</v>
      </c>
      <c r="C10" s="3">
        <v>1.03</v>
      </c>
      <c r="D10" s="1">
        <f t="shared" si="1"/>
        <v>5.18</v>
      </c>
      <c r="E10" s="3">
        <v>1.03</v>
      </c>
      <c r="F10">
        <v>9.8000000000000004E-2</v>
      </c>
      <c r="G10" s="1">
        <v>4.0259999999999998</v>
      </c>
      <c r="H10" s="3">
        <f t="shared" si="2"/>
        <v>518.1788391659851</v>
      </c>
    </row>
    <row r="11" spans="1:8" x14ac:dyDescent="0.25">
      <c r="A11">
        <f t="shared" si="0"/>
        <v>7</v>
      </c>
      <c r="B11">
        <v>4</v>
      </c>
      <c r="C11" s="3">
        <v>1.01</v>
      </c>
      <c r="D11" s="1">
        <f t="shared" si="1"/>
        <v>6.21</v>
      </c>
      <c r="E11" s="3">
        <v>1.01</v>
      </c>
      <c r="F11">
        <v>9.8000000000000004E-2</v>
      </c>
      <c r="G11" s="1">
        <v>4.03</v>
      </c>
      <c r="H11" s="3">
        <f t="shared" si="2"/>
        <v>528.96483340811653</v>
      </c>
    </row>
    <row r="12" spans="1:8" x14ac:dyDescent="0.25">
      <c r="A12">
        <f t="shared" si="0"/>
        <v>8</v>
      </c>
      <c r="B12">
        <v>2</v>
      </c>
      <c r="C12" s="3">
        <v>1.05</v>
      </c>
      <c r="D12" s="1">
        <f t="shared" si="1"/>
        <v>7.22</v>
      </c>
      <c r="E12" s="3">
        <v>1.05</v>
      </c>
      <c r="F12">
        <v>9.9000000000000005E-2</v>
      </c>
      <c r="G12" s="1">
        <v>4.476</v>
      </c>
      <c r="H12" s="3">
        <f t="shared" si="2"/>
        <v>553.76521119349013</v>
      </c>
    </row>
    <row r="13" spans="1:8" x14ac:dyDescent="0.25">
      <c r="A13">
        <f t="shared" si="0"/>
        <v>9</v>
      </c>
      <c r="B13">
        <v>3</v>
      </c>
      <c r="C13" s="3">
        <v>1.04</v>
      </c>
      <c r="D13" s="1">
        <f t="shared" si="1"/>
        <v>8.27</v>
      </c>
      <c r="E13" s="3">
        <v>1.04</v>
      </c>
      <c r="F13">
        <v>0.1</v>
      </c>
      <c r="G13" s="1">
        <v>4.4610000000000003</v>
      </c>
      <c r="H13" s="3">
        <f t="shared" si="2"/>
        <v>546.12764769686169</v>
      </c>
    </row>
    <row r="14" spans="1:8" x14ac:dyDescent="0.25">
      <c r="A14">
        <f t="shared" si="0"/>
        <v>10</v>
      </c>
      <c r="B14">
        <v>2</v>
      </c>
      <c r="C14" s="3">
        <v>1.04</v>
      </c>
      <c r="D14" s="1">
        <f t="shared" si="1"/>
        <v>9.3099999999999987</v>
      </c>
      <c r="E14" s="3">
        <v>1.04</v>
      </c>
      <c r="F14">
        <v>0.10099999999999999</v>
      </c>
      <c r="G14" s="1">
        <v>4.508</v>
      </c>
      <c r="H14" s="3">
        <f t="shared" si="2"/>
        <v>541.00726832440046</v>
      </c>
    </row>
    <row r="15" spans="1:8" x14ac:dyDescent="0.25">
      <c r="A15">
        <f t="shared" si="0"/>
        <v>11</v>
      </c>
      <c r="B15">
        <v>4</v>
      </c>
      <c r="C15" s="3">
        <v>1.04</v>
      </c>
      <c r="D15" s="1">
        <f t="shared" si="1"/>
        <v>10.349999999999998</v>
      </c>
      <c r="E15" s="3">
        <v>1.04</v>
      </c>
      <c r="F15">
        <v>0.10099999999999999</v>
      </c>
      <c r="G15" s="1">
        <v>4.6399999999999997</v>
      </c>
      <c r="H15" s="3">
        <f t="shared" si="2"/>
        <v>556.84865240133502</v>
      </c>
    </row>
    <row r="16" spans="1:8" x14ac:dyDescent="0.25">
      <c r="A16">
        <f t="shared" si="0"/>
        <v>12</v>
      </c>
      <c r="B16">
        <v>3</v>
      </c>
      <c r="C16" s="3">
        <v>1.02</v>
      </c>
      <c r="D16" s="1">
        <f t="shared" si="1"/>
        <v>11.389999999999997</v>
      </c>
      <c r="E16" s="3">
        <v>1.02</v>
      </c>
      <c r="F16">
        <v>0.1</v>
      </c>
      <c r="G16" s="1">
        <v>4.57</v>
      </c>
      <c r="H16" s="3">
        <f t="shared" si="2"/>
        <v>570.44175533790542</v>
      </c>
    </row>
    <row r="17" spans="1:8" x14ac:dyDescent="0.25">
      <c r="A17">
        <f t="shared" si="0"/>
        <v>13</v>
      </c>
      <c r="B17">
        <v>2</v>
      </c>
      <c r="C17" s="3">
        <v>1.03</v>
      </c>
      <c r="D17" s="1">
        <f t="shared" si="1"/>
        <v>12.409999999999997</v>
      </c>
      <c r="E17" s="3">
        <v>1.03</v>
      </c>
      <c r="F17">
        <v>0.1</v>
      </c>
      <c r="G17" s="1">
        <v>4.5970000000000004</v>
      </c>
      <c r="H17" s="3">
        <f t="shared" si="2"/>
        <v>568.24099005207427</v>
      </c>
    </row>
    <row r="18" spans="1:8" x14ac:dyDescent="0.25">
      <c r="A18">
        <f t="shared" si="0"/>
        <v>14</v>
      </c>
      <c r="B18">
        <v>2</v>
      </c>
      <c r="C18" s="3">
        <v>1.04</v>
      </c>
      <c r="D18" s="1">
        <f t="shared" si="1"/>
        <v>13.439999999999996</v>
      </c>
      <c r="E18" s="3">
        <v>1.04</v>
      </c>
      <c r="F18">
        <v>0.1</v>
      </c>
      <c r="G18" s="1">
        <v>4.6959999999999997</v>
      </c>
      <c r="H18" s="3">
        <f t="shared" si="2"/>
        <v>574.89698130115721</v>
      </c>
    </row>
    <row r="19" spans="1:8" x14ac:dyDescent="0.25">
      <c r="A19">
        <f t="shared" si="0"/>
        <v>15</v>
      </c>
      <c r="B19">
        <v>3</v>
      </c>
      <c r="C19" s="3">
        <v>1.04</v>
      </c>
      <c r="D19" s="1">
        <f t="shared" si="1"/>
        <v>14.479999999999997</v>
      </c>
      <c r="E19" s="3">
        <v>1.04</v>
      </c>
      <c r="F19">
        <v>0.10099999999999999</v>
      </c>
      <c r="G19" s="1">
        <v>4.718</v>
      </c>
      <c r="H19" s="3">
        <f t="shared" si="2"/>
        <v>566.20947026497811</v>
      </c>
    </row>
    <row r="20" spans="1:8" x14ac:dyDescent="0.25">
      <c r="A20">
        <f t="shared" si="0"/>
        <v>16</v>
      </c>
      <c r="B20">
        <v>3</v>
      </c>
      <c r="C20" s="3">
        <v>1.04</v>
      </c>
      <c r="D20" s="1">
        <f t="shared" si="1"/>
        <v>15.519999999999996</v>
      </c>
      <c r="E20" s="3">
        <v>1.04</v>
      </c>
      <c r="F20">
        <v>0.10099999999999999</v>
      </c>
      <c r="G20" s="1">
        <v>4.7960000000000003</v>
      </c>
      <c r="H20" s="3">
        <f t="shared" si="2"/>
        <v>575.57028812862131</v>
      </c>
    </row>
    <row r="21" spans="1:8" x14ac:dyDescent="0.25">
      <c r="A21">
        <f t="shared" si="0"/>
        <v>17</v>
      </c>
      <c r="B21">
        <v>3</v>
      </c>
      <c r="C21" s="3">
        <v>1.03</v>
      </c>
      <c r="D21" s="1">
        <f t="shared" si="1"/>
        <v>16.559999999999995</v>
      </c>
      <c r="E21" s="3">
        <v>1.03</v>
      </c>
      <c r="F21">
        <v>0.1</v>
      </c>
      <c r="G21" s="1">
        <v>4.8570000000000002</v>
      </c>
      <c r="H21" s="3">
        <f t="shared" si="2"/>
        <v>600.37991922621802</v>
      </c>
    </row>
    <row r="22" spans="1:8" x14ac:dyDescent="0.25">
      <c r="A22">
        <f t="shared" si="0"/>
        <v>18</v>
      </c>
      <c r="B22">
        <v>2</v>
      </c>
      <c r="C22" s="3">
        <v>1.04</v>
      </c>
      <c r="D22" s="1">
        <f t="shared" si="1"/>
        <v>17.589999999999996</v>
      </c>
      <c r="E22" s="3">
        <v>1.04</v>
      </c>
      <c r="F22">
        <v>0.10099999999999999</v>
      </c>
      <c r="G22" s="1">
        <v>4.95</v>
      </c>
      <c r="H22" s="3">
        <f t="shared" si="2"/>
        <v>594.05190288504491</v>
      </c>
    </row>
    <row r="23" spans="1:8" x14ac:dyDescent="0.25">
      <c r="A23">
        <f t="shared" si="0"/>
        <v>19</v>
      </c>
      <c r="B23">
        <v>2</v>
      </c>
      <c r="C23" s="3">
        <v>1.04</v>
      </c>
      <c r="D23" s="1">
        <f t="shared" si="1"/>
        <v>18.629999999999995</v>
      </c>
      <c r="E23" s="3">
        <v>1.04</v>
      </c>
      <c r="F23">
        <v>0.10099999999999999</v>
      </c>
      <c r="G23" s="1">
        <v>4.9969999999999999</v>
      </c>
      <c r="H23" s="3">
        <f t="shared" si="2"/>
        <v>599.69239570031709</v>
      </c>
    </row>
    <row r="24" spans="1:8" x14ac:dyDescent="0.25">
      <c r="A24">
        <f t="shared" si="0"/>
        <v>20</v>
      </c>
      <c r="B24">
        <v>2</v>
      </c>
      <c r="C24" s="3">
        <v>1</v>
      </c>
      <c r="D24" s="1">
        <f t="shared" si="1"/>
        <v>19.669999999999995</v>
      </c>
      <c r="E24" s="3">
        <v>1</v>
      </c>
      <c r="F24">
        <v>0.1</v>
      </c>
      <c r="G24" s="1">
        <v>4.9119999999999999</v>
      </c>
      <c r="H24" s="3">
        <f t="shared" si="2"/>
        <v>625.39389502498636</v>
      </c>
    </row>
    <row r="25" spans="1:8" x14ac:dyDescent="0.25">
      <c r="A25">
        <f t="shared" si="0"/>
        <v>21</v>
      </c>
      <c r="B25">
        <v>3</v>
      </c>
      <c r="C25" s="3">
        <v>1.07</v>
      </c>
      <c r="D25" s="1">
        <f t="shared" si="1"/>
        <v>20.669999999999995</v>
      </c>
      <c r="E25" s="3">
        <v>1.07</v>
      </c>
      <c r="F25">
        <v>0.1</v>
      </c>
      <c r="G25" s="1">
        <v>5.15</v>
      </c>
      <c r="H25" s="3">
        <f t="shared" si="2"/>
        <v>612.79996335099236</v>
      </c>
    </row>
    <row r="26" spans="1:8" x14ac:dyDescent="0.25">
      <c r="A26">
        <f t="shared" si="0"/>
        <v>22</v>
      </c>
      <c r="B26">
        <v>2</v>
      </c>
      <c r="C26" s="3">
        <v>1.04</v>
      </c>
      <c r="D26" s="1">
        <f t="shared" si="1"/>
        <v>21.739999999999995</v>
      </c>
      <c r="E26" s="3">
        <v>1.04</v>
      </c>
      <c r="F26">
        <v>0.1</v>
      </c>
      <c r="G26" s="1">
        <v>5.1059999999999999</v>
      </c>
      <c r="H26" s="3">
        <f t="shared" si="2"/>
        <v>625.09028673843875</v>
      </c>
    </row>
    <row r="27" spans="1:8" x14ac:dyDescent="0.25">
      <c r="A27">
        <f t="shared" si="0"/>
        <v>23</v>
      </c>
      <c r="B27">
        <v>2</v>
      </c>
      <c r="C27" s="3">
        <v>1.06</v>
      </c>
      <c r="D27" s="1">
        <f t="shared" si="1"/>
        <v>22.779999999999994</v>
      </c>
      <c r="E27" s="3">
        <v>1.06</v>
      </c>
      <c r="F27">
        <v>0.1</v>
      </c>
      <c r="G27" s="1">
        <v>5.2460000000000004</v>
      </c>
      <c r="H27" s="3">
        <f t="shared" si="2"/>
        <v>630.11192714435936</v>
      </c>
    </row>
    <row r="28" spans="1:8" x14ac:dyDescent="0.25">
      <c r="A28">
        <f t="shared" si="0"/>
        <v>24</v>
      </c>
      <c r="B28">
        <v>2</v>
      </c>
      <c r="C28" s="3">
        <v>1.08</v>
      </c>
      <c r="D28" s="1">
        <f t="shared" si="1"/>
        <v>23.839999999999993</v>
      </c>
      <c r="E28" s="3">
        <v>1.08</v>
      </c>
      <c r="F28">
        <v>0.1</v>
      </c>
      <c r="G28" s="1">
        <v>5.3630000000000004</v>
      </c>
      <c r="H28" s="3">
        <f t="shared" si="2"/>
        <v>632.23614485670055</v>
      </c>
    </row>
    <row r="29" spans="1:8" x14ac:dyDescent="0.25">
      <c r="A29">
        <f t="shared" si="0"/>
        <v>25</v>
      </c>
      <c r="B29">
        <v>1</v>
      </c>
      <c r="C29" s="3">
        <v>1</v>
      </c>
      <c r="D29" s="1">
        <f t="shared" si="1"/>
        <v>24.919999999999995</v>
      </c>
      <c r="E29" s="3">
        <v>1</v>
      </c>
      <c r="F29">
        <v>0.1</v>
      </c>
      <c r="G29" s="1">
        <v>5.0010000000000003</v>
      </c>
      <c r="H29" s="3">
        <f t="shared" si="2"/>
        <v>636.72533978419312</v>
      </c>
    </row>
    <row r="30" spans="1:8" x14ac:dyDescent="0.25">
      <c r="A30">
        <f t="shared" si="0"/>
        <v>26</v>
      </c>
      <c r="B30">
        <v>2</v>
      </c>
      <c r="C30" s="3">
        <v>1</v>
      </c>
      <c r="D30" s="1">
        <f t="shared" si="1"/>
        <v>25.919999999999995</v>
      </c>
      <c r="E30" s="3">
        <v>1</v>
      </c>
      <c r="F30">
        <v>0.1</v>
      </c>
      <c r="G30" s="1">
        <v>5.1070000000000002</v>
      </c>
      <c r="H30" s="3">
        <f t="shared" si="2"/>
        <v>650.22121781201247</v>
      </c>
    </row>
    <row r="31" spans="1:8" x14ac:dyDescent="0.25">
      <c r="A31">
        <f t="shared" si="0"/>
        <v>27</v>
      </c>
      <c r="B31">
        <v>1</v>
      </c>
      <c r="C31" s="3">
        <v>1</v>
      </c>
      <c r="D31" s="1">
        <f t="shared" si="1"/>
        <v>26.919999999999995</v>
      </c>
      <c r="E31" s="3">
        <v>1</v>
      </c>
      <c r="F31">
        <v>0.1</v>
      </c>
      <c r="G31" s="1">
        <v>5.1319999999999997</v>
      </c>
      <c r="H31" s="3">
        <f t="shared" si="2"/>
        <v>653.40420791291319</v>
      </c>
    </row>
    <row r="32" spans="1:8" x14ac:dyDescent="0.25">
      <c r="A32">
        <f t="shared" si="0"/>
        <v>28</v>
      </c>
      <c r="B32">
        <v>1</v>
      </c>
      <c r="C32" s="3">
        <v>1.02</v>
      </c>
      <c r="D32" s="1">
        <f t="shared" si="1"/>
        <v>27.919999999999995</v>
      </c>
      <c r="E32" s="3">
        <v>1.02</v>
      </c>
      <c r="F32">
        <v>0.1</v>
      </c>
      <c r="G32" s="1">
        <v>5.1820000000000004</v>
      </c>
      <c r="H32" s="3">
        <f t="shared" si="2"/>
        <v>646.83351775952428</v>
      </c>
    </row>
    <row r="33" spans="1:8" x14ac:dyDescent="0.25">
      <c r="A33">
        <f t="shared" si="0"/>
        <v>29</v>
      </c>
      <c r="B33">
        <v>1</v>
      </c>
      <c r="C33" s="3">
        <v>1.02</v>
      </c>
      <c r="D33" s="1">
        <f t="shared" si="1"/>
        <v>28.939999999999994</v>
      </c>
      <c r="E33" s="3">
        <v>1.02</v>
      </c>
      <c r="F33">
        <v>0.1</v>
      </c>
      <c r="G33" s="1">
        <v>5.2430000000000003</v>
      </c>
      <c r="H33" s="3">
        <f t="shared" si="2"/>
        <v>654.44772937344374</v>
      </c>
    </row>
    <row r="34" spans="1:8" x14ac:dyDescent="0.25">
      <c r="A34">
        <f t="shared" si="0"/>
        <v>30</v>
      </c>
      <c r="B34">
        <v>1</v>
      </c>
      <c r="C34" s="3">
        <v>1.01</v>
      </c>
      <c r="D34" s="1">
        <f t="shared" si="1"/>
        <v>29.959999999999994</v>
      </c>
      <c r="E34" s="3">
        <v>1.01</v>
      </c>
      <c r="F34">
        <v>0.1</v>
      </c>
      <c r="G34" s="1">
        <v>5.3120000000000003</v>
      </c>
      <c r="H34" s="3">
        <f t="shared" si="2"/>
        <v>669.62548182118712</v>
      </c>
    </row>
    <row r="35" spans="1:8" x14ac:dyDescent="0.25">
      <c r="A35">
        <f t="shared" si="0"/>
        <v>31</v>
      </c>
      <c r="B35">
        <v>2</v>
      </c>
      <c r="C35" s="3">
        <v>0.99</v>
      </c>
      <c r="D35" s="1">
        <f t="shared" si="1"/>
        <v>30.969999999999995</v>
      </c>
      <c r="E35" s="3">
        <v>0.99</v>
      </c>
      <c r="F35">
        <v>0.1</v>
      </c>
      <c r="G35" s="1">
        <v>5.1520000000000001</v>
      </c>
      <c r="H35" s="3">
        <f t="shared" si="2"/>
        <v>662.57636362993321</v>
      </c>
    </row>
    <row r="36" spans="1:8" x14ac:dyDescent="0.25">
      <c r="A36">
        <f t="shared" si="0"/>
        <v>32</v>
      </c>
      <c r="B36">
        <v>1</v>
      </c>
      <c r="C36" s="3">
        <v>1.01</v>
      </c>
      <c r="D36" s="1">
        <f t="shared" si="1"/>
        <v>31.959999999999994</v>
      </c>
      <c r="E36" s="3">
        <v>1.01</v>
      </c>
      <c r="F36">
        <v>0.1</v>
      </c>
      <c r="G36" s="1">
        <v>5.23</v>
      </c>
      <c r="H36" s="3">
        <f t="shared" si="2"/>
        <v>659.28864268162818</v>
      </c>
    </row>
    <row r="37" spans="1:8" x14ac:dyDescent="0.25">
      <c r="A37">
        <f t="shared" si="0"/>
        <v>33</v>
      </c>
      <c r="B37">
        <v>1</v>
      </c>
      <c r="C37" s="3">
        <v>1</v>
      </c>
      <c r="D37" s="1">
        <f t="shared" si="1"/>
        <v>32.969999999999992</v>
      </c>
      <c r="E37" s="3">
        <v>1</v>
      </c>
      <c r="F37">
        <v>0.1</v>
      </c>
      <c r="G37" s="1">
        <v>5.1829999999999998</v>
      </c>
      <c r="H37" s="3">
        <f t="shared" si="2"/>
        <v>659.89750771875083</v>
      </c>
    </row>
    <row r="38" spans="1:8" x14ac:dyDescent="0.25">
      <c r="A38">
        <f t="shared" si="0"/>
        <v>34</v>
      </c>
      <c r="B38">
        <v>1</v>
      </c>
      <c r="C38" s="3">
        <v>1.08</v>
      </c>
      <c r="D38" s="1">
        <f t="shared" si="1"/>
        <v>33.969999999999992</v>
      </c>
      <c r="E38" s="3">
        <v>1.08</v>
      </c>
      <c r="F38">
        <v>0.1</v>
      </c>
      <c r="G38" s="1">
        <v>5.7910000000000004</v>
      </c>
      <c r="H38" s="3">
        <f t="shared" si="2"/>
        <v>682.69243238209071</v>
      </c>
    </row>
    <row r="39" spans="1:8" x14ac:dyDescent="0.25">
      <c r="A39">
        <f t="shared" si="0"/>
        <v>35</v>
      </c>
      <c r="B39">
        <v>2</v>
      </c>
      <c r="C39" s="3">
        <v>0.92</v>
      </c>
      <c r="D39" s="1">
        <f t="shared" si="1"/>
        <v>35.04999999999999</v>
      </c>
      <c r="E39" s="3">
        <v>0.92</v>
      </c>
      <c r="F39">
        <v>0.1</v>
      </c>
      <c r="G39" s="1">
        <v>5.0140000000000002</v>
      </c>
      <c r="H39" s="3">
        <f t="shared" si="2"/>
        <v>693.89184199637134</v>
      </c>
    </row>
    <row r="40" spans="1:8" x14ac:dyDescent="0.25">
      <c r="A40">
        <f t="shared" si="0"/>
        <v>36</v>
      </c>
      <c r="B40">
        <v>1</v>
      </c>
      <c r="C40" s="3">
        <v>0.99</v>
      </c>
      <c r="D40" s="1">
        <f t="shared" si="1"/>
        <v>35.969999999999992</v>
      </c>
      <c r="E40" s="3">
        <v>0.99</v>
      </c>
      <c r="F40">
        <v>0.1</v>
      </c>
      <c r="G40" s="1">
        <v>5.5430000000000001</v>
      </c>
      <c r="H40" s="3">
        <f t="shared" si="2"/>
        <v>712.86117694113352</v>
      </c>
    </row>
    <row r="41" spans="1:8" x14ac:dyDescent="0.25">
      <c r="A41">
        <f t="shared" si="0"/>
        <v>37</v>
      </c>
      <c r="B41">
        <v>1</v>
      </c>
      <c r="C41" s="3">
        <v>1.08</v>
      </c>
      <c r="D41" s="1">
        <f t="shared" si="1"/>
        <v>36.959999999999994</v>
      </c>
      <c r="E41" s="3">
        <v>1.08</v>
      </c>
      <c r="F41">
        <v>0.1</v>
      </c>
      <c r="G41" s="1">
        <v>5.7610000000000001</v>
      </c>
      <c r="H41" s="3">
        <f t="shared" si="2"/>
        <v>679.15577671442315</v>
      </c>
    </row>
    <row r="42" spans="1:8" x14ac:dyDescent="0.25">
      <c r="A42">
        <f t="shared" si="0"/>
        <v>38</v>
      </c>
      <c r="B42">
        <v>2</v>
      </c>
      <c r="C42" s="3">
        <v>1</v>
      </c>
      <c r="D42" s="1">
        <f t="shared" si="1"/>
        <v>38.039999999999992</v>
      </c>
      <c r="E42" s="3">
        <v>1</v>
      </c>
      <c r="F42">
        <v>0.1</v>
      </c>
      <c r="G42" s="1">
        <v>5.4779999999999998</v>
      </c>
      <c r="H42" s="3">
        <f t="shared" si="2"/>
        <v>697.45679090938006</v>
      </c>
    </row>
    <row r="43" spans="1:8" x14ac:dyDescent="0.25">
      <c r="A43">
        <f t="shared" si="0"/>
        <v>39</v>
      </c>
      <c r="B43">
        <v>1</v>
      </c>
      <c r="C43" s="3">
        <v>1.03</v>
      </c>
      <c r="D43" s="1">
        <f t="shared" si="1"/>
        <v>39.039999999999992</v>
      </c>
      <c r="E43" s="3">
        <v>1.03</v>
      </c>
      <c r="F43">
        <v>0.1</v>
      </c>
      <c r="G43" s="1">
        <v>5.5789999999999997</v>
      </c>
      <c r="H43" s="3">
        <f t="shared" si="2"/>
        <v>689.62725331749436</v>
      </c>
    </row>
    <row r="44" spans="1:8" x14ac:dyDescent="0.25">
      <c r="A44">
        <f t="shared" si="0"/>
        <v>40</v>
      </c>
      <c r="B44">
        <v>2</v>
      </c>
      <c r="C44" s="3">
        <v>1.05</v>
      </c>
      <c r="D44" s="1">
        <f t="shared" si="1"/>
        <v>40.069999999999993</v>
      </c>
      <c r="E44" s="3">
        <v>1.05</v>
      </c>
      <c r="F44">
        <v>0.1</v>
      </c>
      <c r="G44" s="1">
        <v>5.8019999999999996</v>
      </c>
      <c r="H44" s="3">
        <f t="shared" si="2"/>
        <v>703.53175487338501</v>
      </c>
    </row>
    <row r="45" spans="1:8" x14ac:dyDescent="0.25">
      <c r="A45">
        <f t="shared" si="0"/>
        <v>41</v>
      </c>
      <c r="B45">
        <v>2</v>
      </c>
      <c r="C45" s="3">
        <v>1.04</v>
      </c>
      <c r="D45" s="1">
        <f t="shared" si="1"/>
        <v>41.11999999999999</v>
      </c>
      <c r="E45" s="3">
        <v>1.04</v>
      </c>
      <c r="F45">
        <v>0.1</v>
      </c>
      <c r="G45" s="1">
        <v>6.0170000000000003</v>
      </c>
      <c r="H45" s="3">
        <f t="shared" si="2"/>
        <v>736.61736296615481</v>
      </c>
    </row>
    <row r="46" spans="1:8" x14ac:dyDescent="0.25">
      <c r="A46">
        <f t="shared" si="0"/>
        <v>42</v>
      </c>
      <c r="B46">
        <v>2</v>
      </c>
      <c r="C46" s="3">
        <v>1.05</v>
      </c>
      <c r="D46" s="1">
        <f t="shared" si="1"/>
        <v>42.159999999999989</v>
      </c>
      <c r="E46" s="3">
        <v>1.05</v>
      </c>
      <c r="F46">
        <v>0.1</v>
      </c>
      <c r="G46" s="1">
        <v>5.9429999999999996</v>
      </c>
      <c r="H46" s="3">
        <f t="shared" si="2"/>
        <v>720.62895884393777</v>
      </c>
    </row>
    <row r="47" spans="1:8" x14ac:dyDescent="0.25">
      <c r="A47">
        <f t="shared" si="0"/>
        <v>43</v>
      </c>
      <c r="B47">
        <v>2</v>
      </c>
      <c r="C47" s="3">
        <v>1.07</v>
      </c>
      <c r="D47" s="1">
        <f t="shared" si="1"/>
        <v>43.209999999999987</v>
      </c>
      <c r="E47" s="3">
        <v>1.07</v>
      </c>
      <c r="F47">
        <v>0.1</v>
      </c>
      <c r="G47" s="1">
        <v>6.056</v>
      </c>
      <c r="H47" s="3">
        <f t="shared" si="2"/>
        <v>720.60516078710862</v>
      </c>
    </row>
    <row r="48" spans="1:8" x14ac:dyDescent="0.25">
      <c r="A48">
        <f t="shared" si="0"/>
        <v>44</v>
      </c>
      <c r="B48">
        <v>1</v>
      </c>
      <c r="C48" s="3">
        <v>1.02</v>
      </c>
      <c r="D48" s="1">
        <f t="shared" si="1"/>
        <v>44.279999999999987</v>
      </c>
      <c r="E48" s="3">
        <v>1.02</v>
      </c>
      <c r="F48">
        <v>0.1</v>
      </c>
      <c r="G48" s="1">
        <v>5.6890000000000001</v>
      </c>
      <c r="H48" s="3">
        <f t="shared" si="2"/>
        <v>710.11885035390458</v>
      </c>
    </row>
    <row r="49" spans="1:8" x14ac:dyDescent="0.25">
      <c r="A49">
        <f t="shared" si="0"/>
        <v>45</v>
      </c>
      <c r="B49">
        <v>1</v>
      </c>
      <c r="C49" s="3">
        <v>1.03</v>
      </c>
      <c r="D49" s="1">
        <f t="shared" si="1"/>
        <v>45.29999999999999</v>
      </c>
      <c r="E49" s="3">
        <v>1.03</v>
      </c>
      <c r="F49">
        <v>0.1</v>
      </c>
      <c r="G49" s="1">
        <v>5.7789999999999999</v>
      </c>
      <c r="H49" s="3">
        <f t="shared" si="2"/>
        <v>714.34950652837426</v>
      </c>
    </row>
    <row r="50" spans="1:8" x14ac:dyDescent="0.25">
      <c r="A50">
        <f t="shared" si="0"/>
        <v>46</v>
      </c>
      <c r="B50">
        <v>1</v>
      </c>
      <c r="C50" s="3">
        <v>0.94</v>
      </c>
      <c r="D50" s="1">
        <f t="shared" si="1"/>
        <v>46.329999999999991</v>
      </c>
      <c r="E50" s="3">
        <v>0.94</v>
      </c>
      <c r="F50">
        <v>0.1</v>
      </c>
      <c r="G50" s="1">
        <v>5.375</v>
      </c>
      <c r="H50" s="3">
        <f t="shared" si="2"/>
        <v>728.02433158900942</v>
      </c>
    </row>
    <row r="51" spans="1:8" x14ac:dyDescent="0.25">
      <c r="A51">
        <f t="shared" si="0"/>
        <v>47</v>
      </c>
      <c r="B51">
        <v>1</v>
      </c>
      <c r="C51" s="3">
        <v>1.03</v>
      </c>
      <c r="D51" s="1">
        <f t="shared" si="1"/>
        <v>47.269999999999989</v>
      </c>
      <c r="E51" s="3">
        <v>1.03</v>
      </c>
      <c r="F51">
        <v>0.1</v>
      </c>
      <c r="G51" s="1">
        <v>5.9089999999999998</v>
      </c>
      <c r="H51" s="3">
        <f t="shared" si="2"/>
        <v>730.4189711154462</v>
      </c>
    </row>
    <row r="52" spans="1:8" x14ac:dyDescent="0.25">
      <c r="A52">
        <f t="shared" si="0"/>
        <v>48</v>
      </c>
      <c r="B52">
        <v>2</v>
      </c>
      <c r="C52" s="3">
        <v>1.03</v>
      </c>
      <c r="D52" s="1">
        <f t="shared" si="1"/>
        <v>48.29999999999999</v>
      </c>
      <c r="E52" s="3">
        <v>1.03</v>
      </c>
      <c r="F52">
        <v>0.1</v>
      </c>
      <c r="G52" s="1">
        <v>5.8460000000000001</v>
      </c>
      <c r="H52" s="3">
        <f t="shared" si="2"/>
        <v>722.63146135401905</v>
      </c>
    </row>
    <row r="53" spans="1:8" x14ac:dyDescent="0.25">
      <c r="A53">
        <f t="shared" si="0"/>
        <v>49</v>
      </c>
      <c r="B53">
        <v>1</v>
      </c>
      <c r="C53" s="3">
        <v>1</v>
      </c>
      <c r="D53" s="1">
        <f t="shared" si="1"/>
        <v>49.329999999999991</v>
      </c>
      <c r="E53" s="3">
        <v>1</v>
      </c>
      <c r="F53">
        <v>0.1</v>
      </c>
      <c r="G53" s="1">
        <v>5.9009999999999998</v>
      </c>
      <c r="H53" s="3">
        <f t="shared" si="2"/>
        <v>751.31298341662136</v>
      </c>
    </row>
    <row r="54" spans="1:8" x14ac:dyDescent="0.25">
      <c r="A54">
        <f t="shared" si="0"/>
        <v>50</v>
      </c>
      <c r="B54">
        <v>1</v>
      </c>
      <c r="C54" s="3">
        <v>0.99</v>
      </c>
      <c r="D54" s="1">
        <f t="shared" si="1"/>
        <v>50.329999999999991</v>
      </c>
      <c r="E54" s="3">
        <v>0.99</v>
      </c>
      <c r="F54">
        <v>0.1</v>
      </c>
      <c r="G54" s="1">
        <v>5.8109999999999999</v>
      </c>
      <c r="H54" s="3">
        <f t="shared" si="2"/>
        <v>747.32749399331169</v>
      </c>
    </row>
    <row r="55" spans="1:8" x14ac:dyDescent="0.25">
      <c r="A55">
        <f t="shared" si="0"/>
        <v>51</v>
      </c>
      <c r="B55">
        <v>1</v>
      </c>
      <c r="C55" s="3">
        <v>1</v>
      </c>
      <c r="D55" s="1">
        <f t="shared" si="1"/>
        <v>51.319999999999993</v>
      </c>
      <c r="E55" s="3">
        <v>1</v>
      </c>
      <c r="F55">
        <v>0.1</v>
      </c>
      <c r="G55" s="1">
        <v>5.931</v>
      </c>
      <c r="H55" s="3">
        <f t="shared" si="2"/>
        <v>755.13257153770235</v>
      </c>
    </row>
    <row r="56" spans="1:8" x14ac:dyDescent="0.25">
      <c r="A56">
        <f t="shared" si="0"/>
        <v>52</v>
      </c>
      <c r="B56">
        <v>1</v>
      </c>
      <c r="C56" s="3">
        <v>1.03</v>
      </c>
      <c r="D56" s="1">
        <f t="shared" si="1"/>
        <v>52.319999999999993</v>
      </c>
      <c r="E56" s="3">
        <v>1.03</v>
      </c>
      <c r="F56">
        <v>0.1</v>
      </c>
      <c r="G56" s="1">
        <v>6.0720000000000001</v>
      </c>
      <c r="H56" s="3">
        <f t="shared" si="2"/>
        <v>750.56760748231341</v>
      </c>
    </row>
    <row r="57" spans="1:8" x14ac:dyDescent="0.25">
      <c r="A57">
        <f t="shared" si="0"/>
        <v>53</v>
      </c>
      <c r="B57">
        <v>1</v>
      </c>
      <c r="C57" s="3">
        <v>0.9</v>
      </c>
      <c r="D57" s="1">
        <f t="shared" si="1"/>
        <v>53.349999999999994</v>
      </c>
      <c r="E57" s="3">
        <v>0.9</v>
      </c>
      <c r="F57">
        <v>0.1</v>
      </c>
      <c r="G57" s="1">
        <v>5.3730000000000002</v>
      </c>
      <c r="H57" s="3">
        <f t="shared" si="2"/>
        <v>760.09803609510755</v>
      </c>
    </row>
    <row r="58" spans="1:8" x14ac:dyDescent="0.25">
      <c r="A58">
        <f t="shared" si="0"/>
        <v>54</v>
      </c>
      <c r="B58">
        <v>1</v>
      </c>
      <c r="C58" s="3">
        <v>1.02</v>
      </c>
      <c r="D58" s="1">
        <f t="shared" si="1"/>
        <v>54.249999999999993</v>
      </c>
      <c r="E58" s="3">
        <v>1.02</v>
      </c>
      <c r="F58">
        <v>0.1</v>
      </c>
      <c r="G58" s="1">
        <v>6.1280000000000001</v>
      </c>
      <c r="H58" s="3">
        <f t="shared" si="2"/>
        <v>764.91620934588275</v>
      </c>
    </row>
    <row r="59" spans="1:8" x14ac:dyDescent="0.25">
      <c r="A59">
        <f t="shared" si="0"/>
        <v>55</v>
      </c>
      <c r="B59">
        <v>1</v>
      </c>
      <c r="C59" s="3">
        <v>1</v>
      </c>
      <c r="D59" s="1">
        <f t="shared" si="1"/>
        <v>55.269999999999996</v>
      </c>
      <c r="E59" s="3">
        <v>1</v>
      </c>
      <c r="F59">
        <v>0.1</v>
      </c>
      <c r="G59" s="1">
        <v>6.0149999999999997</v>
      </c>
      <c r="H59" s="3">
        <f t="shared" si="2"/>
        <v>765.82741827672896</v>
      </c>
    </row>
    <row r="60" spans="1:8" x14ac:dyDescent="0.25">
      <c r="A60">
        <f t="shared" si="0"/>
        <v>56</v>
      </c>
      <c r="B60">
        <v>1</v>
      </c>
      <c r="C60" s="3">
        <v>1.02</v>
      </c>
      <c r="D60" s="1">
        <f t="shared" si="1"/>
        <v>56.269999999999996</v>
      </c>
      <c r="E60" s="3">
        <v>1.02</v>
      </c>
      <c r="F60">
        <v>0.1</v>
      </c>
      <c r="G60" s="1">
        <v>6.1159999999999997</v>
      </c>
      <c r="H60" s="3">
        <f t="shared" si="2"/>
        <v>763.41833165134119</v>
      </c>
    </row>
    <row r="61" spans="1:8" x14ac:dyDescent="0.25">
      <c r="A61">
        <f t="shared" si="0"/>
        <v>57</v>
      </c>
      <c r="B61">
        <v>1</v>
      </c>
      <c r="C61" s="3">
        <v>0.95</v>
      </c>
      <c r="D61" s="1">
        <f t="shared" si="1"/>
        <v>57.29</v>
      </c>
      <c r="E61" s="3">
        <v>0.95</v>
      </c>
      <c r="F61">
        <v>0.1</v>
      </c>
      <c r="G61" s="1">
        <v>5.6950000000000003</v>
      </c>
      <c r="H61" s="3">
        <f t="shared" si="2"/>
        <v>763.24752103705157</v>
      </c>
    </row>
    <row r="62" spans="1:8" x14ac:dyDescent="0.25">
      <c r="A62">
        <f t="shared" si="0"/>
        <v>58</v>
      </c>
      <c r="B62">
        <v>1</v>
      </c>
      <c r="C62" s="3">
        <v>0.99</v>
      </c>
      <c r="D62" s="1">
        <f t="shared" si="1"/>
        <v>58.24</v>
      </c>
      <c r="E62" s="3">
        <v>0.99</v>
      </c>
      <c r="F62">
        <v>0.1</v>
      </c>
      <c r="G62" s="1">
        <v>6.1289999999999996</v>
      </c>
      <c r="H62" s="3">
        <f t="shared" si="2"/>
        <v>788.22409407761256</v>
      </c>
    </row>
    <row r="63" spans="1:8" x14ac:dyDescent="0.25">
      <c r="A63">
        <f t="shared" si="0"/>
        <v>59</v>
      </c>
      <c r="B63">
        <v>2</v>
      </c>
      <c r="C63" s="3">
        <v>1.05</v>
      </c>
      <c r="D63" s="1">
        <f t="shared" si="1"/>
        <v>59.230000000000004</v>
      </c>
      <c r="E63" s="3">
        <v>1.05</v>
      </c>
      <c r="F63">
        <v>0.1</v>
      </c>
      <c r="G63" s="1">
        <v>6.4050000000000002</v>
      </c>
      <c r="H63" s="3">
        <f t="shared" si="2"/>
        <v>776.64958461979177</v>
      </c>
    </row>
    <row r="64" spans="1:8" x14ac:dyDescent="0.25">
      <c r="A64">
        <f t="shared" si="0"/>
        <v>60</v>
      </c>
      <c r="B64" t="s">
        <v>11</v>
      </c>
      <c r="C64" s="3">
        <v>0.93</v>
      </c>
      <c r="D64" s="1">
        <f t="shared" si="1"/>
        <v>60.28</v>
      </c>
      <c r="E64" s="3">
        <v>0.93</v>
      </c>
      <c r="F64">
        <v>0.1</v>
      </c>
      <c r="G64" s="1">
        <v>5.7720000000000002</v>
      </c>
      <c r="H64" s="3">
        <f t="shared" si="2"/>
        <v>790.20296182362722</v>
      </c>
    </row>
    <row r="65" spans="1:8" x14ac:dyDescent="0.25">
      <c r="A65">
        <f t="shared" si="0"/>
        <v>61</v>
      </c>
      <c r="B65">
        <v>2</v>
      </c>
      <c r="C65" s="3">
        <v>1.02</v>
      </c>
      <c r="D65" s="1">
        <f t="shared" si="1"/>
        <v>61.21</v>
      </c>
      <c r="E65" s="3">
        <v>1.02</v>
      </c>
      <c r="F65">
        <v>0.1</v>
      </c>
      <c r="G65" s="1">
        <v>6.21</v>
      </c>
      <c r="H65" s="3">
        <f t="shared" si="2"/>
        <v>775.15170692524998</v>
      </c>
    </row>
    <row r="66" spans="1:8" x14ac:dyDescent="0.25">
      <c r="A66">
        <f t="shared" si="0"/>
        <v>62</v>
      </c>
      <c r="B66">
        <v>1</v>
      </c>
      <c r="C66" s="3">
        <v>1.04</v>
      </c>
      <c r="D66" s="1">
        <f t="shared" si="1"/>
        <v>62.230000000000004</v>
      </c>
      <c r="E66" s="3">
        <v>1.04</v>
      </c>
      <c r="F66">
        <v>0.1</v>
      </c>
      <c r="G66" s="1">
        <v>6.53</v>
      </c>
      <c r="H66" s="3">
        <f t="shared" si="2"/>
        <v>799.42020611085104</v>
      </c>
    </row>
    <row r="67" spans="1:8" x14ac:dyDescent="0.25">
      <c r="A67">
        <f t="shared" si="0"/>
        <v>63</v>
      </c>
      <c r="B67" t="s">
        <v>12</v>
      </c>
      <c r="C67" s="3">
        <v>1</v>
      </c>
      <c r="D67" s="1">
        <f t="shared" si="1"/>
        <v>63.27</v>
      </c>
      <c r="E67" s="3">
        <v>1</v>
      </c>
      <c r="F67">
        <v>0.1</v>
      </c>
      <c r="G67" s="1">
        <v>6.2210000000000001</v>
      </c>
      <c r="H67" s="3">
        <f t="shared" si="2"/>
        <v>792.05525670815143</v>
      </c>
    </row>
    <row r="68" spans="1:8" x14ac:dyDescent="0.25">
      <c r="A68">
        <f t="shared" si="0"/>
        <v>64</v>
      </c>
      <c r="B68">
        <v>1</v>
      </c>
      <c r="C68" s="3">
        <v>0.97</v>
      </c>
      <c r="D68" s="1">
        <f t="shared" si="1"/>
        <v>64.27000000000001</v>
      </c>
      <c r="E68" s="3">
        <v>0.97</v>
      </c>
      <c r="F68">
        <v>0.1</v>
      </c>
      <c r="G68" s="1">
        <v>6.11</v>
      </c>
      <c r="H68" s="3">
        <f t="shared" si="2"/>
        <v>801.9822481032495</v>
      </c>
    </row>
    <row r="69" spans="1:8" x14ac:dyDescent="0.25">
      <c r="A69">
        <f t="shared" si="0"/>
        <v>65</v>
      </c>
      <c r="B69">
        <v>2</v>
      </c>
      <c r="C69" s="3">
        <v>1</v>
      </c>
      <c r="D69" s="1">
        <f t="shared" si="1"/>
        <v>65.240000000000009</v>
      </c>
      <c r="E69" s="3">
        <v>1</v>
      </c>
      <c r="F69">
        <v>0.1</v>
      </c>
      <c r="G69" s="1">
        <v>6.1959999999999997</v>
      </c>
      <c r="H69" s="3">
        <f t="shared" si="2"/>
        <v>788.87226660725059</v>
      </c>
    </row>
    <row r="70" spans="1:8" x14ac:dyDescent="0.25">
      <c r="A70">
        <f t="shared" si="0"/>
        <v>66</v>
      </c>
      <c r="B70" t="s">
        <v>13</v>
      </c>
      <c r="C70" s="3">
        <v>1.05</v>
      </c>
      <c r="D70" s="1">
        <f t="shared" si="1"/>
        <v>66.240000000000009</v>
      </c>
      <c r="E70" s="3">
        <v>1.05</v>
      </c>
      <c r="F70">
        <v>0.1</v>
      </c>
      <c r="G70" s="1">
        <v>6.2610000000000001</v>
      </c>
      <c r="H70" s="3"/>
    </row>
    <row r="71" spans="1:8" x14ac:dyDescent="0.25">
      <c r="A71">
        <f t="shared" ref="A71:A104" si="3">+A70+1</f>
        <v>67</v>
      </c>
      <c r="B71">
        <v>2</v>
      </c>
      <c r="C71" s="3">
        <v>1.05</v>
      </c>
      <c r="D71" s="1">
        <f t="shared" ref="D71:D104" si="4">+D70+C70</f>
        <v>67.290000000000006</v>
      </c>
      <c r="E71" s="3">
        <v>1.05</v>
      </c>
      <c r="F71">
        <v>0.1</v>
      </c>
      <c r="G71" s="1">
        <v>6.6779999999999999</v>
      </c>
      <c r="H71" s="3">
        <f t="shared" si="2"/>
        <v>809.75268166915987</v>
      </c>
    </row>
    <row r="72" spans="1:8" x14ac:dyDescent="0.25">
      <c r="A72">
        <f t="shared" si="3"/>
        <v>68</v>
      </c>
      <c r="B72">
        <v>3</v>
      </c>
      <c r="C72" s="3">
        <v>0.99</v>
      </c>
      <c r="D72" s="1">
        <f t="shared" si="4"/>
        <v>68.34</v>
      </c>
      <c r="E72" s="3">
        <v>0.99</v>
      </c>
      <c r="F72">
        <v>0.1</v>
      </c>
      <c r="G72" s="1">
        <v>6.2450000000000001</v>
      </c>
      <c r="H72" s="3">
        <f t="shared" ref="H72" si="5">G72/(E72*((F72/2)^2)*3.1417)</f>
        <v>803.14235071213761</v>
      </c>
    </row>
    <row r="73" spans="1:8" x14ac:dyDescent="0.25">
      <c r="A73">
        <f t="shared" si="3"/>
        <v>69</v>
      </c>
      <c r="B73" t="s">
        <v>14</v>
      </c>
      <c r="C73" s="3">
        <v>1.04</v>
      </c>
      <c r="D73" s="1">
        <f t="shared" si="4"/>
        <v>69.33</v>
      </c>
      <c r="E73" s="3">
        <v>1.04</v>
      </c>
      <c r="F73">
        <v>0.1</v>
      </c>
      <c r="G73" s="1">
        <v>6.4980000000000002</v>
      </c>
      <c r="H73" s="3"/>
    </row>
    <row r="74" spans="1:8" x14ac:dyDescent="0.25">
      <c r="A74">
        <f t="shared" si="3"/>
        <v>70</v>
      </c>
      <c r="B74">
        <v>8</v>
      </c>
      <c r="C74" s="3">
        <v>1.02</v>
      </c>
      <c r="D74" s="1">
        <f t="shared" si="4"/>
        <v>70.37</v>
      </c>
      <c r="E74" s="3">
        <v>1.02</v>
      </c>
      <c r="F74">
        <v>0.1</v>
      </c>
      <c r="G74" s="1">
        <v>6.31</v>
      </c>
      <c r="H74" s="3"/>
    </row>
    <row r="75" spans="1:8" x14ac:dyDescent="0.25">
      <c r="A75">
        <f t="shared" si="3"/>
        <v>71</v>
      </c>
      <c r="B75">
        <v>3</v>
      </c>
      <c r="C75" s="3">
        <v>1.04</v>
      </c>
      <c r="D75" s="1">
        <f t="shared" si="4"/>
        <v>71.39</v>
      </c>
      <c r="E75" s="3">
        <v>1.04</v>
      </c>
      <c r="F75">
        <v>0.1</v>
      </c>
      <c r="G75" s="1">
        <v>6.76</v>
      </c>
      <c r="H75" s="3">
        <f t="shared" ref="H75:H90" si="6">G75/(E75*((F75/2)^2)*3.1417)</f>
        <v>827.57742623420415</v>
      </c>
    </row>
    <row r="76" spans="1:8" x14ac:dyDescent="0.25">
      <c r="A76">
        <f t="shared" si="3"/>
        <v>72</v>
      </c>
      <c r="B76">
        <v>3</v>
      </c>
      <c r="C76" s="3">
        <v>0.99</v>
      </c>
      <c r="D76" s="1">
        <f t="shared" si="4"/>
        <v>72.430000000000007</v>
      </c>
      <c r="E76" s="3">
        <v>0.99</v>
      </c>
      <c r="F76">
        <v>0.1</v>
      </c>
      <c r="G76" s="1">
        <v>6.4089999999999998</v>
      </c>
      <c r="H76" s="3">
        <f t="shared" si="6"/>
        <v>824.23367905750035</v>
      </c>
    </row>
    <row r="77" spans="1:8" x14ac:dyDescent="0.25">
      <c r="A77">
        <f t="shared" si="3"/>
        <v>73</v>
      </c>
      <c r="B77">
        <v>2</v>
      </c>
      <c r="C77" s="3">
        <v>1.05</v>
      </c>
      <c r="D77" s="1">
        <f t="shared" si="4"/>
        <v>73.42</v>
      </c>
      <c r="E77" s="3">
        <v>1.05</v>
      </c>
      <c r="F77">
        <v>0.1</v>
      </c>
      <c r="G77" s="1">
        <v>6.8120000000000003</v>
      </c>
      <c r="H77" s="3">
        <f t="shared" si="6"/>
        <v>826.00108827947247</v>
      </c>
    </row>
    <row r="78" spans="1:8" x14ac:dyDescent="0.25">
      <c r="A78">
        <f t="shared" si="3"/>
        <v>74</v>
      </c>
      <c r="B78">
        <v>2</v>
      </c>
      <c r="C78" s="3">
        <v>1.04</v>
      </c>
      <c r="D78" s="1">
        <f t="shared" si="4"/>
        <v>74.47</v>
      </c>
      <c r="E78" s="3">
        <v>1.04</v>
      </c>
      <c r="F78">
        <v>0.1</v>
      </c>
      <c r="G78" s="1">
        <v>6.8860000000000001</v>
      </c>
      <c r="H78" s="3">
        <f t="shared" si="6"/>
        <v>843.00268595395414</v>
      </c>
    </row>
    <row r="79" spans="1:8" x14ac:dyDescent="0.25">
      <c r="A79">
        <f t="shared" si="3"/>
        <v>75</v>
      </c>
      <c r="B79" t="s">
        <v>15</v>
      </c>
      <c r="C79" s="3">
        <v>1.05</v>
      </c>
      <c r="D79" s="1">
        <f t="shared" si="4"/>
        <v>75.510000000000005</v>
      </c>
      <c r="E79" s="3">
        <v>1.05</v>
      </c>
      <c r="F79">
        <v>0.1</v>
      </c>
      <c r="G79" s="1">
        <v>6.8049999999999997</v>
      </c>
      <c r="H79" s="3">
        <f t="shared" si="6"/>
        <v>825.1522909192322</v>
      </c>
    </row>
    <row r="80" spans="1:8" x14ac:dyDescent="0.25">
      <c r="A80">
        <f t="shared" si="3"/>
        <v>76</v>
      </c>
      <c r="B80">
        <v>3</v>
      </c>
      <c r="C80" s="3">
        <v>0.97</v>
      </c>
      <c r="D80" s="1">
        <f t="shared" si="4"/>
        <v>76.56</v>
      </c>
      <c r="E80" s="3">
        <v>0.97</v>
      </c>
      <c r="F80">
        <v>0.1</v>
      </c>
      <c r="G80" s="1">
        <v>6.2549999999999999</v>
      </c>
      <c r="H80" s="3">
        <f t="shared" si="6"/>
        <v>821.01456004677993</v>
      </c>
    </row>
    <row r="81" spans="1:8" x14ac:dyDescent="0.25">
      <c r="A81">
        <f t="shared" si="3"/>
        <v>77</v>
      </c>
      <c r="B81">
        <v>1</v>
      </c>
      <c r="C81" s="3">
        <v>1.07</v>
      </c>
      <c r="D81" s="1">
        <f t="shared" si="4"/>
        <v>77.53</v>
      </c>
      <c r="E81" s="3">
        <v>1.07</v>
      </c>
      <c r="F81">
        <v>0.1</v>
      </c>
      <c r="G81" s="1">
        <v>7.0570000000000004</v>
      </c>
      <c r="H81" s="3">
        <f t="shared" si="6"/>
        <v>839.71443521707818</v>
      </c>
    </row>
    <row r="82" spans="1:8" x14ac:dyDescent="0.25">
      <c r="A82">
        <f t="shared" si="3"/>
        <v>78</v>
      </c>
      <c r="B82">
        <v>1</v>
      </c>
      <c r="C82" s="3">
        <v>0.99</v>
      </c>
      <c r="D82" s="1">
        <f t="shared" si="4"/>
        <v>78.599999999999994</v>
      </c>
      <c r="E82" s="3">
        <v>0.99</v>
      </c>
      <c r="F82">
        <v>0.1</v>
      </c>
      <c r="G82" s="1">
        <v>6.4980000000000002</v>
      </c>
      <c r="H82" s="3">
        <f t="shared" si="6"/>
        <v>835.67958285467898</v>
      </c>
    </row>
    <row r="83" spans="1:8" x14ac:dyDescent="0.25">
      <c r="A83">
        <f t="shared" si="3"/>
        <v>79</v>
      </c>
      <c r="B83">
        <v>1</v>
      </c>
      <c r="C83" s="3">
        <v>0.99</v>
      </c>
      <c r="D83" s="1">
        <f t="shared" si="4"/>
        <v>79.589999999999989</v>
      </c>
      <c r="E83" s="3">
        <v>0.99</v>
      </c>
      <c r="F83">
        <v>0.1</v>
      </c>
      <c r="G83" s="1">
        <v>6.5289999999999999</v>
      </c>
      <c r="H83" s="3">
        <f t="shared" si="6"/>
        <v>839.66635833459509</v>
      </c>
    </row>
    <row r="84" spans="1:8" x14ac:dyDescent="0.25">
      <c r="A84">
        <f t="shared" si="3"/>
        <v>80</v>
      </c>
      <c r="B84">
        <v>1</v>
      </c>
      <c r="C84" s="3">
        <v>0.94</v>
      </c>
      <c r="D84" s="1">
        <f t="shared" si="4"/>
        <v>80.579999999999984</v>
      </c>
      <c r="E84" s="3">
        <v>0.94</v>
      </c>
      <c r="F84">
        <v>0.1</v>
      </c>
      <c r="G84" s="1">
        <v>6.2789999999999999</v>
      </c>
      <c r="H84" s="3">
        <f t="shared" si="6"/>
        <v>850.46786568323535</v>
      </c>
    </row>
    <row r="85" spans="1:8" x14ac:dyDescent="0.25">
      <c r="A85">
        <f t="shared" si="3"/>
        <v>81</v>
      </c>
      <c r="B85">
        <v>1</v>
      </c>
      <c r="C85" s="3">
        <v>0.97</v>
      </c>
      <c r="D85" s="1">
        <f t="shared" si="4"/>
        <v>81.519999999999982</v>
      </c>
      <c r="E85" s="3">
        <v>0.97</v>
      </c>
      <c r="F85">
        <v>0.1</v>
      </c>
      <c r="G85" s="1">
        <v>6.4119999999999999</v>
      </c>
      <c r="H85" s="3">
        <f t="shared" si="6"/>
        <v>841.62195987529219</v>
      </c>
    </row>
    <row r="86" spans="1:8" x14ac:dyDescent="0.25">
      <c r="A86">
        <f t="shared" si="3"/>
        <v>82</v>
      </c>
      <c r="B86">
        <v>1</v>
      </c>
      <c r="C86" s="3">
        <v>0.94</v>
      </c>
      <c r="D86" s="1">
        <f t="shared" si="4"/>
        <v>82.489999999999981</v>
      </c>
      <c r="E86" s="3">
        <v>0.94</v>
      </c>
      <c r="F86">
        <v>0.1</v>
      </c>
      <c r="G86" s="1">
        <v>6.34</v>
      </c>
      <c r="H86" s="3">
        <f t="shared" si="6"/>
        <v>858.7300953068501</v>
      </c>
    </row>
    <row r="87" spans="1:8" x14ac:dyDescent="0.25">
      <c r="A87">
        <f t="shared" si="3"/>
        <v>83</v>
      </c>
      <c r="B87">
        <v>1</v>
      </c>
      <c r="C87" s="3">
        <v>0.93</v>
      </c>
      <c r="D87" s="1">
        <f t="shared" si="4"/>
        <v>83.429999999999978</v>
      </c>
      <c r="E87" s="3">
        <v>0.93</v>
      </c>
      <c r="F87">
        <v>0.1</v>
      </c>
      <c r="G87" s="1">
        <v>6.234</v>
      </c>
      <c r="H87" s="3">
        <f t="shared" si="6"/>
        <v>853.45205544152657</v>
      </c>
    </row>
    <row r="88" spans="1:8" x14ac:dyDescent="0.25">
      <c r="A88">
        <f t="shared" si="3"/>
        <v>84</v>
      </c>
      <c r="B88">
        <v>1</v>
      </c>
      <c r="C88" s="3">
        <v>1</v>
      </c>
      <c r="D88" s="1">
        <f t="shared" si="4"/>
        <v>84.359999999999985</v>
      </c>
      <c r="E88" s="3">
        <v>1</v>
      </c>
      <c r="F88">
        <v>0.1</v>
      </c>
      <c r="G88" s="1">
        <v>6.7469999999999999</v>
      </c>
      <c r="H88" s="3">
        <f t="shared" si="6"/>
        <v>859.02536843110397</v>
      </c>
    </row>
    <row r="89" spans="1:8" x14ac:dyDescent="0.25">
      <c r="A89">
        <f t="shared" si="3"/>
        <v>85</v>
      </c>
      <c r="B89">
        <v>1</v>
      </c>
      <c r="C89" s="3">
        <v>0.99</v>
      </c>
      <c r="D89" s="1">
        <f t="shared" si="4"/>
        <v>85.359999999999985</v>
      </c>
      <c r="E89" s="3">
        <v>0.99</v>
      </c>
      <c r="F89">
        <v>0.1</v>
      </c>
      <c r="G89" s="1">
        <v>6.774</v>
      </c>
      <c r="H89" s="3">
        <f t="shared" si="6"/>
        <v>871.17474519199675</v>
      </c>
    </row>
    <row r="90" spans="1:8" x14ac:dyDescent="0.25">
      <c r="A90">
        <f t="shared" si="3"/>
        <v>86</v>
      </c>
      <c r="B90">
        <v>2</v>
      </c>
      <c r="C90" s="3">
        <v>1.05</v>
      </c>
      <c r="D90" s="1">
        <f t="shared" si="4"/>
        <v>86.34999999999998</v>
      </c>
      <c r="E90" s="3">
        <v>1.05</v>
      </c>
      <c r="F90">
        <v>0.1</v>
      </c>
      <c r="G90" s="1">
        <v>6.9429999999999996</v>
      </c>
      <c r="H90" s="3">
        <f t="shared" si="6"/>
        <v>841.88572459253919</v>
      </c>
    </row>
    <row r="91" spans="1:8" x14ac:dyDescent="0.25">
      <c r="A91">
        <f t="shared" si="3"/>
        <v>87</v>
      </c>
      <c r="B91">
        <v>7</v>
      </c>
      <c r="C91" s="3">
        <v>1.05</v>
      </c>
      <c r="D91" s="1">
        <f t="shared" si="4"/>
        <v>87.399999999999977</v>
      </c>
      <c r="E91" s="3">
        <v>1.05</v>
      </c>
      <c r="F91">
        <v>0.1</v>
      </c>
      <c r="G91" s="1"/>
      <c r="H91" s="3"/>
    </row>
    <row r="92" spans="1:8" x14ac:dyDescent="0.25">
      <c r="A92">
        <f t="shared" si="3"/>
        <v>88</v>
      </c>
      <c r="B92">
        <v>4</v>
      </c>
      <c r="C92" s="3">
        <v>1.05</v>
      </c>
      <c r="D92" s="1">
        <f t="shared" si="4"/>
        <v>88.449999999999974</v>
      </c>
      <c r="E92" s="3">
        <v>1.05</v>
      </c>
      <c r="F92">
        <v>0.1</v>
      </c>
      <c r="G92" s="1"/>
      <c r="H92" s="3"/>
    </row>
    <row r="93" spans="1:8" x14ac:dyDescent="0.25">
      <c r="A93">
        <f t="shared" si="3"/>
        <v>89</v>
      </c>
      <c r="B93">
        <v>2</v>
      </c>
      <c r="C93" s="3">
        <v>1.06</v>
      </c>
      <c r="D93" s="1">
        <f t="shared" si="4"/>
        <v>89.499999999999972</v>
      </c>
      <c r="E93" s="3">
        <v>1.06</v>
      </c>
      <c r="F93">
        <v>0.1</v>
      </c>
      <c r="G93" s="1">
        <v>7.2430000000000003</v>
      </c>
      <c r="H93" s="3">
        <f t="shared" ref="H93" si="7">G93/(E93*((F93/2)^2)*3.1417)</f>
        <v>869.97725663488268</v>
      </c>
    </row>
    <row r="94" spans="1:8" x14ac:dyDescent="0.25">
      <c r="A94">
        <f t="shared" si="3"/>
        <v>90</v>
      </c>
      <c r="B94">
        <v>2</v>
      </c>
      <c r="C94" s="3">
        <v>1.06</v>
      </c>
      <c r="D94" s="1">
        <f t="shared" si="4"/>
        <v>90.559999999999974</v>
      </c>
      <c r="E94" s="3">
        <v>1.06</v>
      </c>
      <c r="G94" s="1"/>
      <c r="H94" s="3"/>
    </row>
    <row r="95" spans="1:8" x14ac:dyDescent="0.25">
      <c r="A95">
        <f t="shared" si="3"/>
        <v>91</v>
      </c>
      <c r="B95">
        <v>5</v>
      </c>
      <c r="C95" s="3">
        <v>1.06</v>
      </c>
      <c r="D95" s="1">
        <f t="shared" si="4"/>
        <v>91.619999999999976</v>
      </c>
      <c r="E95" s="3">
        <v>1.06</v>
      </c>
      <c r="G95" s="1"/>
      <c r="H95" s="3"/>
    </row>
    <row r="96" spans="1:8" x14ac:dyDescent="0.25">
      <c r="A96">
        <f t="shared" si="3"/>
        <v>92</v>
      </c>
      <c r="B96">
        <v>2</v>
      </c>
      <c r="C96" s="3">
        <v>0.9</v>
      </c>
      <c r="D96" s="1">
        <f t="shared" si="4"/>
        <v>92.679999999999978</v>
      </c>
      <c r="E96" s="3">
        <v>0.9</v>
      </c>
      <c r="F96">
        <v>0.1</v>
      </c>
      <c r="G96" s="1">
        <v>6.2380000000000004</v>
      </c>
      <c r="H96" s="3">
        <f t="shared" ref="H96:H98" si="8">G96/(E96*((F96/2)^2)*3.1417)</f>
        <v>882.46632219640435</v>
      </c>
    </row>
    <row r="97" spans="1:8" x14ac:dyDescent="0.25">
      <c r="A97">
        <f t="shared" si="3"/>
        <v>93</v>
      </c>
      <c r="B97">
        <v>1</v>
      </c>
      <c r="C97" s="3">
        <v>0.92</v>
      </c>
      <c r="D97" s="1">
        <f t="shared" si="4"/>
        <v>93.579999999999984</v>
      </c>
      <c r="E97" s="3">
        <v>0.92</v>
      </c>
      <c r="G97" s="1"/>
      <c r="H97" s="3"/>
    </row>
    <row r="98" spans="1:8" x14ac:dyDescent="0.25">
      <c r="A98">
        <f t="shared" si="3"/>
        <v>94</v>
      </c>
      <c r="B98">
        <v>3</v>
      </c>
      <c r="C98" s="3">
        <v>0.97</v>
      </c>
      <c r="D98" s="1">
        <f t="shared" si="4"/>
        <v>94.499999999999986</v>
      </c>
      <c r="E98" s="3">
        <v>0.97</v>
      </c>
      <c r="F98">
        <v>0.1</v>
      </c>
      <c r="G98" s="1">
        <v>6.5780000000000003</v>
      </c>
      <c r="H98" s="3">
        <f t="shared" si="8"/>
        <v>863.41067561754096</v>
      </c>
    </row>
    <row r="99" spans="1:8" x14ac:dyDescent="0.25">
      <c r="A99">
        <f t="shared" si="3"/>
        <v>95</v>
      </c>
      <c r="B99" t="s">
        <v>12</v>
      </c>
      <c r="C99" s="3">
        <v>1.06</v>
      </c>
      <c r="D99" s="1">
        <f t="shared" si="4"/>
        <v>95.469999999999985</v>
      </c>
      <c r="E99" s="3">
        <v>1.06</v>
      </c>
      <c r="G99" s="1"/>
      <c r="H99" s="3"/>
    </row>
    <row r="100" spans="1:8" x14ac:dyDescent="0.25">
      <c r="A100">
        <f t="shared" si="3"/>
        <v>96</v>
      </c>
      <c r="B100">
        <v>4</v>
      </c>
      <c r="C100" s="3">
        <v>1.07</v>
      </c>
      <c r="D100" s="1">
        <f t="shared" si="4"/>
        <v>96.529999999999987</v>
      </c>
      <c r="E100" s="3">
        <v>1.07</v>
      </c>
      <c r="F100" t="s">
        <v>29</v>
      </c>
      <c r="G100" s="1"/>
      <c r="H100" s="3"/>
    </row>
    <row r="101" spans="1:8" x14ac:dyDescent="0.25">
      <c r="A101">
        <f t="shared" si="3"/>
        <v>97</v>
      </c>
      <c r="B101">
        <v>2</v>
      </c>
      <c r="C101" s="3">
        <v>1.04</v>
      </c>
      <c r="D101" s="1">
        <f t="shared" si="4"/>
        <v>97.59999999999998</v>
      </c>
      <c r="E101" s="3" t="s">
        <v>16</v>
      </c>
      <c r="F101" t="s">
        <v>29</v>
      </c>
      <c r="G101" s="1"/>
      <c r="H101" s="3"/>
    </row>
    <row r="102" spans="1:8" x14ac:dyDescent="0.25">
      <c r="A102">
        <f t="shared" si="3"/>
        <v>98</v>
      </c>
      <c r="B102">
        <v>6</v>
      </c>
      <c r="C102" s="3">
        <v>0.91</v>
      </c>
      <c r="D102" s="1">
        <f t="shared" si="4"/>
        <v>98.639999999999986</v>
      </c>
      <c r="E102" s="3" t="s">
        <v>17</v>
      </c>
      <c r="F102" t="s">
        <v>29</v>
      </c>
      <c r="G102" s="1"/>
      <c r="H102" s="3"/>
    </row>
    <row r="103" spans="1:8" x14ac:dyDescent="0.25">
      <c r="A103">
        <f t="shared" si="3"/>
        <v>99</v>
      </c>
      <c r="B103">
        <v>3</v>
      </c>
      <c r="C103" s="3">
        <v>1.05</v>
      </c>
      <c r="D103" s="1">
        <f t="shared" si="4"/>
        <v>99.549999999999983</v>
      </c>
      <c r="E103" s="3"/>
      <c r="F103" t="s">
        <v>29</v>
      </c>
      <c r="G103" s="1"/>
      <c r="H103" s="3"/>
    </row>
    <row r="104" spans="1:8" x14ac:dyDescent="0.25">
      <c r="A104">
        <f t="shared" si="3"/>
        <v>100</v>
      </c>
      <c r="B104">
        <v>4</v>
      </c>
      <c r="C104" s="3">
        <v>1.05</v>
      </c>
      <c r="D104" s="1">
        <f t="shared" si="4"/>
        <v>100.59999999999998</v>
      </c>
      <c r="E104" s="3"/>
      <c r="F104" t="s">
        <v>29</v>
      </c>
      <c r="G104" s="1"/>
      <c r="H10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workbookViewId="0">
      <selection activeCell="H5" sqref="H5"/>
    </sheetView>
  </sheetViews>
  <sheetFormatPr defaultRowHeight="15" x14ac:dyDescent="0.25"/>
  <cols>
    <col min="8" max="8" width="9.5703125" bestFit="1" customWidth="1"/>
    <col min="263" max="264" width="8.85546875" customWidth="1"/>
    <col min="519" max="520" width="8.85546875" customWidth="1"/>
    <col min="775" max="776" width="8.85546875" customWidth="1"/>
    <col min="1031" max="1032" width="8.85546875" customWidth="1"/>
    <col min="1287" max="1288" width="8.85546875" customWidth="1"/>
    <col min="1543" max="1544" width="8.85546875" customWidth="1"/>
    <col min="1799" max="1800" width="8.85546875" customWidth="1"/>
    <col min="2055" max="2056" width="8.85546875" customWidth="1"/>
    <col min="2311" max="2312" width="8.85546875" customWidth="1"/>
    <col min="2567" max="2568" width="8.85546875" customWidth="1"/>
    <col min="2823" max="2824" width="8.85546875" customWidth="1"/>
    <col min="3079" max="3080" width="8.85546875" customWidth="1"/>
    <col min="3335" max="3336" width="8.85546875" customWidth="1"/>
    <col min="3591" max="3592" width="8.85546875" customWidth="1"/>
    <col min="3847" max="3848" width="8.85546875" customWidth="1"/>
    <col min="4103" max="4104" width="8.85546875" customWidth="1"/>
    <col min="4359" max="4360" width="8.85546875" customWidth="1"/>
    <col min="4615" max="4616" width="8.85546875" customWidth="1"/>
    <col min="4871" max="4872" width="8.85546875" customWidth="1"/>
    <col min="5127" max="5128" width="8.85546875" customWidth="1"/>
    <col min="5383" max="5384" width="8.85546875" customWidth="1"/>
    <col min="5639" max="5640" width="8.85546875" customWidth="1"/>
    <col min="5895" max="5896" width="8.85546875" customWidth="1"/>
    <col min="6151" max="6152" width="8.85546875" customWidth="1"/>
    <col min="6407" max="6408" width="8.85546875" customWidth="1"/>
    <col min="6663" max="6664" width="8.85546875" customWidth="1"/>
    <col min="6919" max="6920" width="8.85546875" customWidth="1"/>
    <col min="7175" max="7176" width="8.85546875" customWidth="1"/>
    <col min="7431" max="7432" width="8.85546875" customWidth="1"/>
    <col min="7687" max="7688" width="8.85546875" customWidth="1"/>
    <col min="7943" max="7944" width="8.85546875" customWidth="1"/>
    <col min="8199" max="8200" width="8.85546875" customWidth="1"/>
    <col min="8455" max="8456" width="8.85546875" customWidth="1"/>
    <col min="8711" max="8712" width="8.85546875" customWidth="1"/>
    <col min="8967" max="8968" width="8.85546875" customWidth="1"/>
    <col min="9223" max="9224" width="8.85546875" customWidth="1"/>
    <col min="9479" max="9480" width="8.85546875" customWidth="1"/>
    <col min="9735" max="9736" width="8.85546875" customWidth="1"/>
    <col min="9991" max="9992" width="8.85546875" customWidth="1"/>
    <col min="10247" max="10248" width="8.85546875" customWidth="1"/>
    <col min="10503" max="10504" width="8.85546875" customWidth="1"/>
    <col min="10759" max="10760" width="8.85546875" customWidth="1"/>
    <col min="11015" max="11016" width="8.85546875" customWidth="1"/>
    <col min="11271" max="11272" width="8.85546875" customWidth="1"/>
    <col min="11527" max="11528" width="8.85546875" customWidth="1"/>
    <col min="11783" max="11784" width="8.85546875" customWidth="1"/>
    <col min="12039" max="12040" width="8.85546875" customWidth="1"/>
    <col min="12295" max="12296" width="8.85546875" customWidth="1"/>
    <col min="12551" max="12552" width="8.85546875" customWidth="1"/>
    <col min="12807" max="12808" width="8.85546875" customWidth="1"/>
    <col min="13063" max="13064" width="8.85546875" customWidth="1"/>
    <col min="13319" max="13320" width="8.85546875" customWidth="1"/>
    <col min="13575" max="13576" width="8.85546875" customWidth="1"/>
    <col min="13831" max="13832" width="8.85546875" customWidth="1"/>
    <col min="14087" max="14088" width="8.85546875" customWidth="1"/>
    <col min="14343" max="14344" width="8.85546875" customWidth="1"/>
    <col min="14599" max="14600" width="8.85546875" customWidth="1"/>
    <col min="14855" max="14856" width="8.85546875" customWidth="1"/>
    <col min="15111" max="15112" width="8.85546875" customWidth="1"/>
    <col min="15367" max="15368" width="8.85546875" customWidth="1"/>
    <col min="15623" max="15624" width="8.85546875" customWidth="1"/>
    <col min="15879" max="15880" width="8.85546875" customWidth="1"/>
    <col min="16135" max="16136" width="8.85546875" customWidth="1"/>
  </cols>
  <sheetData>
    <row r="1" spans="1:8" x14ac:dyDescent="0.25">
      <c r="A1" t="s">
        <v>23</v>
      </c>
      <c r="C1" t="s">
        <v>18</v>
      </c>
      <c r="D1" s="4" t="s">
        <v>32</v>
      </c>
      <c r="E1" t="s">
        <v>19</v>
      </c>
      <c r="F1" s="4" t="s">
        <v>33</v>
      </c>
      <c r="G1" t="s">
        <v>20</v>
      </c>
      <c r="H1" s="4">
        <v>2534</v>
      </c>
    </row>
    <row r="2" spans="1:8" x14ac:dyDescent="0.25">
      <c r="F2" s="2"/>
    </row>
    <row r="3" spans="1:8" x14ac:dyDescent="0.25">
      <c r="A3" t="s">
        <v>1</v>
      </c>
      <c r="B3" t="s">
        <v>2</v>
      </c>
      <c r="C3" s="5" t="s">
        <v>3</v>
      </c>
      <c r="D3" s="1" t="s">
        <v>4</v>
      </c>
      <c r="E3" s="3" t="s">
        <v>3</v>
      </c>
      <c r="F3" s="1" t="s">
        <v>5</v>
      </c>
      <c r="G3" s="1" t="s">
        <v>6</v>
      </c>
      <c r="H3" s="3" t="s">
        <v>7</v>
      </c>
    </row>
    <row r="4" spans="1:8" x14ac:dyDescent="0.25">
      <c r="C4" s="5" t="s">
        <v>8</v>
      </c>
      <c r="D4" s="1" t="s">
        <v>8</v>
      </c>
      <c r="E4" s="3" t="s">
        <v>8</v>
      </c>
      <c r="F4" s="1" t="s">
        <v>8</v>
      </c>
      <c r="G4" s="1" t="s">
        <v>10</v>
      </c>
      <c r="H4" s="3" t="s">
        <v>31</v>
      </c>
    </row>
    <row r="5" spans="1:8" x14ac:dyDescent="0.25">
      <c r="A5">
        <v>1</v>
      </c>
      <c r="B5">
        <v>4</v>
      </c>
      <c r="C5" s="5">
        <v>104</v>
      </c>
      <c r="D5" s="1">
        <v>0</v>
      </c>
      <c r="E5" s="3">
        <v>1.04</v>
      </c>
      <c r="F5" s="1">
        <v>0.10099999999999999</v>
      </c>
      <c r="G5" s="1">
        <v>2.968</v>
      </c>
      <c r="H5" s="3">
        <f>G5/(E5*((F5/2)^2)*3.1417)</f>
        <v>356.19112076016432</v>
      </c>
    </row>
    <row r="6" spans="1:8" x14ac:dyDescent="0.25">
      <c r="A6">
        <f>+A5+1</f>
        <v>2</v>
      </c>
      <c r="B6">
        <v>1</v>
      </c>
      <c r="C6" s="5">
        <v>97</v>
      </c>
      <c r="D6" s="1">
        <f t="shared" ref="D6:D69" si="0">+D5+(C5/100)</f>
        <v>1.04</v>
      </c>
      <c r="E6" s="3">
        <v>0.97</v>
      </c>
      <c r="F6" s="1">
        <v>0.10099999999999999</v>
      </c>
      <c r="G6" s="1">
        <v>3.1389999999999998</v>
      </c>
      <c r="H6" s="3">
        <f t="shared" ref="H6:H69" si="1">G6/(E6*((F6/2)^2)*3.1417)</f>
        <v>403.89838177286316</v>
      </c>
    </row>
    <row r="7" spans="1:8" x14ac:dyDescent="0.25">
      <c r="A7">
        <f t="shared" ref="A7:A70" si="2">+A6+1</f>
        <v>3</v>
      </c>
      <c r="B7">
        <v>2</v>
      </c>
      <c r="C7" s="5">
        <v>95</v>
      </c>
      <c r="D7" s="1">
        <f t="shared" si="0"/>
        <v>2.0099999999999998</v>
      </c>
      <c r="E7" s="3">
        <v>0.95</v>
      </c>
      <c r="F7" s="1">
        <v>0.10099999999999999</v>
      </c>
      <c r="G7" s="1">
        <v>3.0510000000000002</v>
      </c>
      <c r="H7" s="3">
        <f t="shared" si="1"/>
        <v>400.84007441368698</v>
      </c>
    </row>
    <row r="8" spans="1:8" x14ac:dyDescent="0.25">
      <c r="A8">
        <f t="shared" si="2"/>
        <v>4</v>
      </c>
      <c r="B8">
        <v>2</v>
      </c>
      <c r="C8" s="5">
        <v>104</v>
      </c>
      <c r="D8" s="1">
        <f t="shared" si="0"/>
        <v>2.96</v>
      </c>
      <c r="E8" s="3">
        <v>1.04</v>
      </c>
      <c r="F8" s="1">
        <v>0.10199999999999999</v>
      </c>
      <c r="G8" s="1">
        <v>3.794</v>
      </c>
      <c r="H8" s="3">
        <f t="shared" si="1"/>
        <v>446.43570678502289</v>
      </c>
    </row>
    <row r="9" spans="1:8" x14ac:dyDescent="0.25">
      <c r="A9">
        <f t="shared" si="2"/>
        <v>5</v>
      </c>
      <c r="B9">
        <v>2</v>
      </c>
      <c r="C9" s="5">
        <v>105</v>
      </c>
      <c r="D9" s="1">
        <f t="shared" si="0"/>
        <v>4</v>
      </c>
      <c r="E9" s="3">
        <v>1.05</v>
      </c>
      <c r="F9" s="1">
        <v>0.10199999999999999</v>
      </c>
      <c r="G9" s="1">
        <v>4</v>
      </c>
      <c r="H9" s="3">
        <f t="shared" si="1"/>
        <v>466.19287100577236</v>
      </c>
    </row>
    <row r="10" spans="1:8" x14ac:dyDescent="0.25">
      <c r="A10">
        <f t="shared" si="2"/>
        <v>6</v>
      </c>
      <c r="B10">
        <v>2</v>
      </c>
      <c r="C10" s="5">
        <v>104</v>
      </c>
      <c r="D10" s="1">
        <f t="shared" si="0"/>
        <v>5.05</v>
      </c>
      <c r="E10" s="3">
        <v>1.04</v>
      </c>
      <c r="F10" s="1">
        <v>0.10150000000000001</v>
      </c>
      <c r="G10" s="1">
        <v>3.9329999999999998</v>
      </c>
      <c r="H10" s="3">
        <f t="shared" si="1"/>
        <v>467.36243452579595</v>
      </c>
    </row>
    <row r="11" spans="1:8" x14ac:dyDescent="0.25">
      <c r="A11">
        <f t="shared" si="2"/>
        <v>7</v>
      </c>
      <c r="B11">
        <v>2</v>
      </c>
      <c r="C11" s="5">
        <v>98</v>
      </c>
      <c r="D11" s="1">
        <f t="shared" si="0"/>
        <v>6.09</v>
      </c>
      <c r="E11" s="3">
        <v>0.98</v>
      </c>
      <c r="F11" s="1">
        <v>0.10150000000000001</v>
      </c>
      <c r="G11" s="1">
        <v>3.8149999999999999</v>
      </c>
      <c r="H11" s="3">
        <f t="shared" si="1"/>
        <v>481.09590623155918</v>
      </c>
    </row>
    <row r="12" spans="1:8" x14ac:dyDescent="0.25">
      <c r="A12">
        <f t="shared" si="2"/>
        <v>8</v>
      </c>
      <c r="B12">
        <v>1</v>
      </c>
      <c r="C12" s="5">
        <v>98</v>
      </c>
      <c r="D12" s="1">
        <f t="shared" si="0"/>
        <v>7.07</v>
      </c>
      <c r="E12" s="3">
        <v>0.98</v>
      </c>
      <c r="F12" s="1">
        <v>0.10150000000000001</v>
      </c>
      <c r="G12" s="1">
        <v>4.0380000000000003</v>
      </c>
      <c r="H12" s="3">
        <f t="shared" si="1"/>
        <v>509.21763286055995</v>
      </c>
    </row>
    <row r="13" spans="1:8" x14ac:dyDescent="0.25">
      <c r="A13">
        <f t="shared" si="2"/>
        <v>9</v>
      </c>
      <c r="B13">
        <v>1</v>
      </c>
      <c r="C13" s="5">
        <v>94</v>
      </c>
      <c r="D13" s="1">
        <f t="shared" si="0"/>
        <v>8.0500000000000007</v>
      </c>
      <c r="E13" s="3">
        <v>0.94</v>
      </c>
      <c r="F13" s="1">
        <v>0.10150000000000001</v>
      </c>
      <c r="G13" s="1">
        <v>3.948</v>
      </c>
      <c r="H13" s="3">
        <f t="shared" si="1"/>
        <v>519.05393186083825</v>
      </c>
    </row>
    <row r="14" spans="1:8" x14ac:dyDescent="0.25">
      <c r="A14">
        <f t="shared" si="2"/>
        <v>10</v>
      </c>
      <c r="B14" t="s">
        <v>12</v>
      </c>
      <c r="C14" s="5">
        <v>103</v>
      </c>
      <c r="D14" s="1">
        <f t="shared" si="0"/>
        <v>8.99</v>
      </c>
      <c r="E14" s="3">
        <v>1.03</v>
      </c>
      <c r="F14" s="1">
        <v>0.10150000000000001</v>
      </c>
      <c r="G14" s="1">
        <v>4.3140000000000001</v>
      </c>
      <c r="H14" s="3">
        <f t="shared" si="1"/>
        <v>517.61411512890788</v>
      </c>
    </row>
    <row r="15" spans="1:8" x14ac:dyDescent="0.25">
      <c r="A15">
        <f t="shared" si="2"/>
        <v>11</v>
      </c>
      <c r="B15" t="s">
        <v>12</v>
      </c>
      <c r="C15" s="5">
        <v>102</v>
      </c>
      <c r="D15" s="1">
        <f t="shared" si="0"/>
        <v>10.02</v>
      </c>
      <c r="E15" s="3">
        <v>1.02</v>
      </c>
      <c r="F15" s="1">
        <v>0.10150000000000001</v>
      </c>
      <c r="G15" s="1">
        <v>4.2560000000000002</v>
      </c>
      <c r="H15" s="3">
        <f t="shared" si="1"/>
        <v>515.66142250227063</v>
      </c>
    </row>
    <row r="16" spans="1:8" x14ac:dyDescent="0.25">
      <c r="A16">
        <f t="shared" si="2"/>
        <v>12</v>
      </c>
      <c r="B16">
        <v>2</v>
      </c>
      <c r="C16" s="5">
        <v>103</v>
      </c>
      <c r="D16" s="1">
        <f t="shared" si="0"/>
        <v>11.04</v>
      </c>
      <c r="E16" s="3">
        <v>1.03</v>
      </c>
      <c r="F16" s="1">
        <v>0.10150000000000001</v>
      </c>
      <c r="G16" s="1">
        <v>4.43</v>
      </c>
      <c r="H16" s="3">
        <f t="shared" si="1"/>
        <v>531.53234353756648</v>
      </c>
    </row>
    <row r="17" spans="1:8" x14ac:dyDescent="0.25">
      <c r="A17">
        <f t="shared" si="2"/>
        <v>13</v>
      </c>
      <c r="B17">
        <v>1</v>
      </c>
      <c r="C17" s="5">
        <v>104</v>
      </c>
      <c r="D17" s="1">
        <f t="shared" si="0"/>
        <v>12.069999999999999</v>
      </c>
      <c r="E17" s="3">
        <v>1.04</v>
      </c>
      <c r="F17" s="1">
        <v>0.10150000000000001</v>
      </c>
      <c r="G17" s="1">
        <v>4.6749999999999998</v>
      </c>
      <c r="H17" s="3">
        <f t="shared" si="1"/>
        <v>555.53505756625884</v>
      </c>
    </row>
    <row r="18" spans="1:8" x14ac:dyDescent="0.25">
      <c r="A18">
        <f t="shared" si="2"/>
        <v>14</v>
      </c>
      <c r="B18">
        <v>1</v>
      </c>
      <c r="C18" s="5">
        <v>103</v>
      </c>
      <c r="D18" s="1">
        <f t="shared" si="0"/>
        <v>13.11</v>
      </c>
      <c r="E18" s="3">
        <v>1.03</v>
      </c>
      <c r="F18" s="1">
        <v>0.10150000000000001</v>
      </c>
      <c r="G18" s="1">
        <v>4.6749999999999998</v>
      </c>
      <c r="H18" s="3">
        <f t="shared" si="1"/>
        <v>560.92860181447486</v>
      </c>
    </row>
    <row r="19" spans="1:8" x14ac:dyDescent="0.25">
      <c r="A19">
        <f t="shared" si="2"/>
        <v>15</v>
      </c>
      <c r="B19">
        <v>1</v>
      </c>
      <c r="C19" s="5">
        <v>104</v>
      </c>
      <c r="D19" s="1">
        <f t="shared" si="0"/>
        <v>14.139999999999999</v>
      </c>
      <c r="E19" s="3">
        <v>1.04</v>
      </c>
      <c r="F19" s="1">
        <v>0.10150000000000001</v>
      </c>
      <c r="G19" s="1">
        <v>4.7450000000000001</v>
      </c>
      <c r="H19" s="3">
        <f t="shared" si="1"/>
        <v>563.85322955120819</v>
      </c>
    </row>
    <row r="20" spans="1:8" x14ac:dyDescent="0.25">
      <c r="A20">
        <f t="shared" si="2"/>
        <v>16</v>
      </c>
      <c r="B20">
        <v>1</v>
      </c>
      <c r="C20" s="5">
        <v>99</v>
      </c>
      <c r="D20" s="1">
        <f t="shared" si="0"/>
        <v>15.18</v>
      </c>
      <c r="E20" s="3">
        <v>0.99</v>
      </c>
      <c r="F20" s="1">
        <v>0.10150000000000001</v>
      </c>
      <c r="G20" s="1">
        <v>4.59</v>
      </c>
      <c r="H20" s="3">
        <f t="shared" si="1"/>
        <v>572.98161309313309</v>
      </c>
    </row>
    <row r="21" spans="1:8" x14ac:dyDescent="0.25">
      <c r="A21">
        <f t="shared" si="2"/>
        <v>17</v>
      </c>
      <c r="B21">
        <v>1</v>
      </c>
      <c r="C21" s="5">
        <v>104</v>
      </c>
      <c r="D21" s="1">
        <f t="shared" si="0"/>
        <v>16.169999999999998</v>
      </c>
      <c r="E21" s="3">
        <v>1.04</v>
      </c>
      <c r="F21" s="1">
        <v>0.10150000000000001</v>
      </c>
      <c r="G21" s="1">
        <v>4.8220000000000001</v>
      </c>
      <c r="H21" s="3">
        <f t="shared" si="1"/>
        <v>573.00321873465248</v>
      </c>
    </row>
    <row r="22" spans="1:8" x14ac:dyDescent="0.25">
      <c r="A22">
        <f t="shared" si="2"/>
        <v>18</v>
      </c>
      <c r="B22">
        <v>1</v>
      </c>
      <c r="C22" s="5">
        <v>102</v>
      </c>
      <c r="D22" s="1">
        <f t="shared" si="0"/>
        <v>17.209999999999997</v>
      </c>
      <c r="E22" s="3">
        <v>1.02</v>
      </c>
      <c r="F22" s="1">
        <v>0.10150000000000001</v>
      </c>
      <c r="G22" s="1">
        <v>4.8230000000000004</v>
      </c>
      <c r="H22" s="3">
        <f t="shared" si="1"/>
        <v>584.35973701326384</v>
      </c>
    </row>
    <row r="23" spans="1:8" x14ac:dyDescent="0.25">
      <c r="A23">
        <f t="shared" si="2"/>
        <v>19</v>
      </c>
      <c r="B23">
        <v>1</v>
      </c>
      <c r="C23" s="5">
        <v>105</v>
      </c>
      <c r="D23" s="1">
        <f t="shared" si="0"/>
        <v>18.229999999999997</v>
      </c>
      <c r="E23" s="3">
        <f>+C23/100</f>
        <v>1.05</v>
      </c>
      <c r="F23" s="1">
        <v>0.10150000000000001</v>
      </c>
      <c r="G23" s="1">
        <v>5.03</v>
      </c>
      <c r="H23" s="3">
        <f t="shared" si="1"/>
        <v>592.02750051247529</v>
      </c>
    </row>
    <row r="24" spans="1:8" x14ac:dyDescent="0.25">
      <c r="A24">
        <f t="shared" si="2"/>
        <v>20</v>
      </c>
      <c r="B24">
        <v>1</v>
      </c>
      <c r="C24" s="5">
        <v>104</v>
      </c>
      <c r="D24" s="1">
        <f t="shared" si="0"/>
        <v>19.279999999999998</v>
      </c>
      <c r="E24" s="3">
        <f t="shared" ref="E24:E87" si="3">+C24/100</f>
        <v>1.04</v>
      </c>
      <c r="F24" s="1">
        <v>0.10150000000000001</v>
      </c>
      <c r="G24" s="1">
        <v>5.0119999999999996</v>
      </c>
      <c r="H24" s="3">
        <f t="shared" si="1"/>
        <v>595.58111412237201</v>
      </c>
    </row>
    <row r="25" spans="1:8" x14ac:dyDescent="0.25">
      <c r="A25">
        <f t="shared" si="2"/>
        <v>21</v>
      </c>
      <c r="B25">
        <v>1</v>
      </c>
      <c r="C25" s="5">
        <v>103</v>
      </c>
      <c r="D25" s="1">
        <f t="shared" si="0"/>
        <v>20.319999999999997</v>
      </c>
      <c r="E25" s="3">
        <f t="shared" si="3"/>
        <v>1.03</v>
      </c>
      <c r="F25" s="1">
        <v>0.10150000000000001</v>
      </c>
      <c r="G25" s="1">
        <v>4.984</v>
      </c>
      <c r="H25" s="3">
        <f t="shared" si="1"/>
        <v>598.00388266167761</v>
      </c>
    </row>
    <row r="26" spans="1:8" x14ac:dyDescent="0.25">
      <c r="A26">
        <f t="shared" si="2"/>
        <v>22</v>
      </c>
      <c r="B26">
        <v>1</v>
      </c>
      <c r="C26" s="5">
        <v>103</v>
      </c>
      <c r="D26" s="1">
        <f t="shared" si="0"/>
        <v>21.349999999999998</v>
      </c>
      <c r="E26" s="3">
        <f t="shared" si="3"/>
        <v>1.03</v>
      </c>
      <c r="F26" s="1">
        <v>0.10160000000000001</v>
      </c>
      <c r="G26" s="1">
        <v>5.0949999999999998</v>
      </c>
      <c r="H26" s="3">
        <f t="shared" si="1"/>
        <v>610.11938951884531</v>
      </c>
    </row>
    <row r="27" spans="1:8" x14ac:dyDescent="0.25">
      <c r="A27">
        <f t="shared" si="2"/>
        <v>23</v>
      </c>
      <c r="B27">
        <v>1</v>
      </c>
      <c r="C27" s="5">
        <v>104</v>
      </c>
      <c r="D27" s="1">
        <f t="shared" si="0"/>
        <v>22.38</v>
      </c>
      <c r="E27" s="3">
        <f t="shared" si="3"/>
        <v>1.04</v>
      </c>
      <c r="F27" s="1">
        <v>0.10160000000000001</v>
      </c>
      <c r="G27" s="1">
        <v>5.1230000000000002</v>
      </c>
      <c r="H27" s="3">
        <f t="shared" si="1"/>
        <v>607.57357920287541</v>
      </c>
    </row>
    <row r="28" spans="1:8" x14ac:dyDescent="0.25">
      <c r="A28">
        <f t="shared" si="2"/>
        <v>24</v>
      </c>
      <c r="B28">
        <v>1</v>
      </c>
      <c r="C28" s="5">
        <v>102</v>
      </c>
      <c r="D28" s="1">
        <f t="shared" si="0"/>
        <v>23.419999999999998</v>
      </c>
      <c r="E28" s="3">
        <f t="shared" si="3"/>
        <v>1.02</v>
      </c>
      <c r="F28" s="1">
        <v>0.10160000000000001</v>
      </c>
      <c r="G28" s="1">
        <v>5.1520000000000001</v>
      </c>
      <c r="H28" s="3">
        <f t="shared" si="1"/>
        <v>622.99354377515897</v>
      </c>
    </row>
    <row r="29" spans="1:8" x14ac:dyDescent="0.25">
      <c r="A29">
        <f t="shared" si="2"/>
        <v>25</v>
      </c>
      <c r="B29">
        <v>1</v>
      </c>
      <c r="C29" s="5">
        <v>102</v>
      </c>
      <c r="D29" s="1">
        <f t="shared" si="0"/>
        <v>24.439999999999998</v>
      </c>
      <c r="E29" s="3">
        <f t="shared" si="3"/>
        <v>1.02</v>
      </c>
      <c r="F29" s="1">
        <v>0.10160000000000001</v>
      </c>
      <c r="G29" s="1">
        <v>5.16</v>
      </c>
      <c r="H29" s="3">
        <f t="shared" si="1"/>
        <v>623.96092505431295</v>
      </c>
    </row>
    <row r="30" spans="1:8" x14ac:dyDescent="0.25">
      <c r="A30">
        <f t="shared" si="2"/>
        <v>26</v>
      </c>
      <c r="B30">
        <v>1</v>
      </c>
      <c r="C30" s="5">
        <v>105</v>
      </c>
      <c r="D30" s="1">
        <f t="shared" si="0"/>
        <v>25.459999999999997</v>
      </c>
      <c r="E30" s="3">
        <f t="shared" si="3"/>
        <v>1.05</v>
      </c>
      <c r="F30" s="1">
        <v>0.10160000000000001</v>
      </c>
      <c r="G30" s="1">
        <v>5.298</v>
      </c>
      <c r="H30" s="3">
        <f t="shared" si="1"/>
        <v>622.34401634486983</v>
      </c>
    </row>
    <row r="31" spans="1:8" x14ac:dyDescent="0.25">
      <c r="A31">
        <f t="shared" si="2"/>
        <v>27</v>
      </c>
      <c r="B31">
        <v>1</v>
      </c>
      <c r="C31" s="5">
        <v>102</v>
      </c>
      <c r="D31" s="1">
        <f t="shared" si="0"/>
        <v>26.509999999999998</v>
      </c>
      <c r="E31" s="3">
        <f t="shared" si="3"/>
        <v>1.02</v>
      </c>
      <c r="F31" s="1">
        <v>0.10160000000000001</v>
      </c>
      <c r="G31" s="1">
        <v>5.2130000000000001</v>
      </c>
      <c r="H31" s="3">
        <f t="shared" si="1"/>
        <v>630.36982602870808</v>
      </c>
    </row>
    <row r="32" spans="1:8" x14ac:dyDescent="0.25">
      <c r="A32">
        <f t="shared" si="2"/>
        <v>28</v>
      </c>
      <c r="B32">
        <v>1</v>
      </c>
      <c r="C32" s="5">
        <v>102</v>
      </c>
      <c r="D32" s="1">
        <f t="shared" si="0"/>
        <v>27.529999999999998</v>
      </c>
      <c r="E32" s="3">
        <f t="shared" si="3"/>
        <v>1.02</v>
      </c>
      <c r="F32" s="1">
        <v>0.10160000000000001</v>
      </c>
      <c r="G32" s="1">
        <v>5.2430000000000003</v>
      </c>
      <c r="H32" s="3">
        <f t="shared" si="1"/>
        <v>633.99750582553543</v>
      </c>
    </row>
    <row r="33" spans="1:8" x14ac:dyDescent="0.25">
      <c r="A33">
        <f t="shared" si="2"/>
        <v>29</v>
      </c>
      <c r="B33">
        <v>1</v>
      </c>
      <c r="C33" s="5">
        <v>102</v>
      </c>
      <c r="D33" s="1">
        <f t="shared" si="0"/>
        <v>28.549999999999997</v>
      </c>
      <c r="E33" s="3">
        <f t="shared" si="3"/>
        <v>1.02</v>
      </c>
      <c r="F33" s="1">
        <v>0.10160000000000001</v>
      </c>
      <c r="G33" s="1">
        <v>5.3719999999999999</v>
      </c>
      <c r="H33" s="3">
        <f t="shared" si="1"/>
        <v>649.59652895189322</v>
      </c>
    </row>
    <row r="34" spans="1:8" x14ac:dyDescent="0.25">
      <c r="A34">
        <f t="shared" si="2"/>
        <v>30</v>
      </c>
      <c r="B34">
        <v>2</v>
      </c>
      <c r="C34" s="5">
        <v>104</v>
      </c>
      <c r="D34" s="1">
        <f t="shared" si="0"/>
        <v>29.569999999999997</v>
      </c>
      <c r="E34" s="3">
        <f t="shared" si="3"/>
        <v>1.04</v>
      </c>
      <c r="F34" s="1">
        <v>0.10160000000000001</v>
      </c>
      <c r="G34" s="1">
        <v>5.4640000000000004</v>
      </c>
      <c r="H34" s="3">
        <f t="shared" si="1"/>
        <v>648.01523263019931</v>
      </c>
    </row>
    <row r="35" spans="1:8" x14ac:dyDescent="0.25">
      <c r="A35">
        <f t="shared" si="2"/>
        <v>31</v>
      </c>
      <c r="B35">
        <v>2</v>
      </c>
      <c r="C35" s="5">
        <v>105</v>
      </c>
      <c r="D35" s="1">
        <f t="shared" si="0"/>
        <v>30.609999999999996</v>
      </c>
      <c r="E35" s="3">
        <f t="shared" si="3"/>
        <v>1.05</v>
      </c>
      <c r="F35" s="1">
        <v>0.10160000000000001</v>
      </c>
      <c r="G35" s="1">
        <v>5.5250000000000004</v>
      </c>
      <c r="H35" s="3">
        <f t="shared" si="1"/>
        <v>649.00919031812123</v>
      </c>
    </row>
    <row r="36" spans="1:8" x14ac:dyDescent="0.25">
      <c r="A36">
        <f t="shared" si="2"/>
        <v>32</v>
      </c>
      <c r="B36">
        <v>2</v>
      </c>
      <c r="C36" s="5">
        <v>104</v>
      </c>
      <c r="D36" s="1">
        <f t="shared" si="0"/>
        <v>31.659999999999997</v>
      </c>
      <c r="E36" s="3">
        <f t="shared" si="3"/>
        <v>1.04</v>
      </c>
      <c r="F36" s="1">
        <v>0.10160000000000001</v>
      </c>
      <c r="G36" s="1">
        <v>5.5350000000000001</v>
      </c>
      <c r="H36" s="3">
        <f t="shared" si="1"/>
        <v>656.43563554321986</v>
      </c>
    </row>
    <row r="37" spans="1:8" x14ac:dyDescent="0.25">
      <c r="A37">
        <f t="shared" si="2"/>
        <v>33</v>
      </c>
      <c r="B37">
        <v>2</v>
      </c>
      <c r="C37" s="5">
        <v>105</v>
      </c>
      <c r="D37" s="1">
        <f t="shared" si="0"/>
        <v>32.699999999999996</v>
      </c>
      <c r="E37" s="3">
        <f t="shared" si="3"/>
        <v>1.05</v>
      </c>
      <c r="F37" s="1">
        <v>0.10160000000000001</v>
      </c>
      <c r="G37" s="1">
        <v>5.6260000000000003</v>
      </c>
      <c r="H37" s="3">
        <f t="shared" si="1"/>
        <v>660.87343072031672</v>
      </c>
    </row>
    <row r="38" spans="1:8" x14ac:dyDescent="0.25">
      <c r="A38">
        <f t="shared" si="2"/>
        <v>34</v>
      </c>
      <c r="B38">
        <v>2</v>
      </c>
      <c r="C38" s="5">
        <v>103</v>
      </c>
      <c r="D38" s="1">
        <f t="shared" si="0"/>
        <v>33.749999999999993</v>
      </c>
      <c r="E38" s="3">
        <f t="shared" si="3"/>
        <v>1.03</v>
      </c>
      <c r="F38" s="1">
        <v>0.10160000000000001</v>
      </c>
      <c r="G38" s="1">
        <v>5.5380000000000003</v>
      </c>
      <c r="H38" s="3">
        <f t="shared" si="1"/>
        <v>663.16804301381069</v>
      </c>
    </row>
    <row r="39" spans="1:8" x14ac:dyDescent="0.25">
      <c r="A39">
        <f t="shared" si="2"/>
        <v>35</v>
      </c>
      <c r="B39">
        <v>2</v>
      </c>
      <c r="C39" s="5">
        <v>99</v>
      </c>
      <c r="D39" s="1">
        <f t="shared" si="0"/>
        <v>34.779999999999994</v>
      </c>
      <c r="E39" s="3">
        <f t="shared" si="3"/>
        <v>0.99</v>
      </c>
      <c r="F39" s="1">
        <v>0.10160000000000001</v>
      </c>
      <c r="G39" s="1">
        <v>5.3310000000000004</v>
      </c>
      <c r="H39" s="3">
        <f t="shared" si="1"/>
        <v>664.17320595369051</v>
      </c>
    </row>
    <row r="40" spans="1:8" x14ac:dyDescent="0.25">
      <c r="A40">
        <f t="shared" si="2"/>
        <v>36</v>
      </c>
      <c r="B40">
        <v>2</v>
      </c>
      <c r="C40" s="5">
        <v>105</v>
      </c>
      <c r="D40" s="1">
        <f t="shared" si="0"/>
        <v>35.769999999999996</v>
      </c>
      <c r="E40" s="3">
        <f t="shared" si="3"/>
        <v>1.05</v>
      </c>
      <c r="F40" s="1">
        <v>0.10160000000000001</v>
      </c>
      <c r="G40" s="1">
        <v>5.7530000000000001</v>
      </c>
      <c r="H40" s="3">
        <f t="shared" si="1"/>
        <v>675.79183201812691</v>
      </c>
    </row>
    <row r="41" spans="1:8" x14ac:dyDescent="0.25">
      <c r="A41">
        <f t="shared" si="2"/>
        <v>37</v>
      </c>
      <c r="B41">
        <v>3</v>
      </c>
      <c r="C41" s="5">
        <v>105</v>
      </c>
      <c r="D41" s="1">
        <f t="shared" si="0"/>
        <v>36.819999999999993</v>
      </c>
      <c r="E41" s="3">
        <f t="shared" si="3"/>
        <v>1.05</v>
      </c>
      <c r="F41" s="1">
        <v>0.10160000000000001</v>
      </c>
      <c r="G41" s="1">
        <v>5.7939999999999996</v>
      </c>
      <c r="H41" s="3">
        <f t="shared" si="1"/>
        <v>680.6080088150577</v>
      </c>
    </row>
    <row r="42" spans="1:8" x14ac:dyDescent="0.25">
      <c r="A42">
        <f t="shared" si="2"/>
        <v>38</v>
      </c>
      <c r="B42">
        <v>2</v>
      </c>
      <c r="C42" s="5">
        <v>104</v>
      </c>
      <c r="D42" s="1">
        <f t="shared" si="0"/>
        <v>37.86999999999999</v>
      </c>
      <c r="E42" s="3">
        <f t="shared" si="3"/>
        <v>1.04</v>
      </c>
      <c r="F42" s="1">
        <v>0.10160000000000001</v>
      </c>
      <c r="G42" s="1">
        <v>5.7519999999999998</v>
      </c>
      <c r="H42" s="3">
        <f t="shared" si="1"/>
        <v>682.17123317878963</v>
      </c>
    </row>
    <row r="43" spans="1:8" x14ac:dyDescent="0.25">
      <c r="A43">
        <f t="shared" si="2"/>
        <v>39</v>
      </c>
      <c r="B43">
        <v>2</v>
      </c>
      <c r="C43" s="5">
        <v>105</v>
      </c>
      <c r="D43" s="1">
        <f t="shared" si="0"/>
        <v>38.909999999999989</v>
      </c>
      <c r="E43" s="3">
        <f t="shared" si="3"/>
        <v>1.05</v>
      </c>
      <c r="F43" s="1">
        <v>0.10160000000000001</v>
      </c>
      <c r="G43" s="1">
        <v>5.8449999999999998</v>
      </c>
      <c r="H43" s="3">
        <f t="shared" si="1"/>
        <v>686.5988628795327</v>
      </c>
    </row>
    <row r="44" spans="1:8" x14ac:dyDescent="0.25">
      <c r="A44">
        <f t="shared" si="2"/>
        <v>40</v>
      </c>
      <c r="B44">
        <v>3</v>
      </c>
      <c r="C44" s="5">
        <v>104</v>
      </c>
      <c r="D44" s="1">
        <f t="shared" si="0"/>
        <v>39.959999999999987</v>
      </c>
      <c r="E44" s="3">
        <f t="shared" si="3"/>
        <v>1.04</v>
      </c>
      <c r="F44" s="1">
        <v>0.10160000000000001</v>
      </c>
      <c r="G44" s="1">
        <v>5.8929999999999998</v>
      </c>
      <c r="H44" s="3">
        <f t="shared" si="1"/>
        <v>698.8934417807036</v>
      </c>
    </row>
    <row r="45" spans="1:8" x14ac:dyDescent="0.25">
      <c r="A45">
        <f t="shared" si="2"/>
        <v>41</v>
      </c>
      <c r="B45">
        <v>3</v>
      </c>
      <c r="C45" s="5">
        <v>105</v>
      </c>
      <c r="D45" s="1">
        <f t="shared" si="0"/>
        <v>40.999999999999986</v>
      </c>
      <c r="E45" s="3">
        <f t="shared" si="3"/>
        <v>1.05</v>
      </c>
      <c r="F45" s="1">
        <v>0.10160000000000001</v>
      </c>
      <c r="G45" s="1">
        <v>5.9489999999999998</v>
      </c>
      <c r="H45" s="3">
        <f t="shared" si="1"/>
        <v>698.81550646199139</v>
      </c>
    </row>
    <row r="46" spans="1:8" x14ac:dyDescent="0.25">
      <c r="A46">
        <f t="shared" si="2"/>
        <v>42</v>
      </c>
      <c r="B46">
        <v>3</v>
      </c>
      <c r="C46" s="5">
        <v>104</v>
      </c>
      <c r="D46" s="1">
        <f t="shared" si="0"/>
        <v>42.049999999999983</v>
      </c>
      <c r="E46" s="3">
        <f t="shared" si="3"/>
        <v>1.04</v>
      </c>
      <c r="F46" s="1">
        <v>0.10160000000000001</v>
      </c>
      <c r="G46" s="1">
        <v>5.7539999999999996</v>
      </c>
      <c r="H46" s="3">
        <f t="shared" si="1"/>
        <v>682.40842762704369</v>
      </c>
    </row>
    <row r="47" spans="1:8" x14ac:dyDescent="0.25">
      <c r="A47">
        <f t="shared" si="2"/>
        <v>43</v>
      </c>
      <c r="B47">
        <v>2</v>
      </c>
      <c r="C47" s="5">
        <v>95</v>
      </c>
      <c r="D47" s="1">
        <f t="shared" si="0"/>
        <v>43.089999999999982</v>
      </c>
      <c r="E47" s="3">
        <f t="shared" si="3"/>
        <v>0.95</v>
      </c>
      <c r="F47" s="1">
        <v>0.10160000000000001</v>
      </c>
      <c r="G47" s="1">
        <v>5.3819999999999997</v>
      </c>
      <c r="H47" s="3">
        <f t="shared" si="1"/>
        <v>698.75986385458145</v>
      </c>
    </row>
    <row r="48" spans="1:8" x14ac:dyDescent="0.25">
      <c r="A48">
        <f t="shared" si="2"/>
        <v>44</v>
      </c>
      <c r="B48">
        <v>2</v>
      </c>
      <c r="C48" s="5">
        <v>100</v>
      </c>
      <c r="D48" s="1">
        <f t="shared" si="0"/>
        <v>44.039999999999985</v>
      </c>
      <c r="E48" s="3">
        <f t="shared" si="3"/>
        <v>1</v>
      </c>
      <c r="F48" s="1">
        <v>0.10160000000000001</v>
      </c>
      <c r="G48" s="1">
        <v>5.7030000000000003</v>
      </c>
      <c r="H48" s="3">
        <f t="shared" si="1"/>
        <v>703.41436796442667</v>
      </c>
    </row>
    <row r="49" spans="1:8" x14ac:dyDescent="0.25">
      <c r="A49">
        <f t="shared" si="2"/>
        <v>45</v>
      </c>
      <c r="B49">
        <v>1</v>
      </c>
      <c r="C49" s="5">
        <v>88</v>
      </c>
      <c r="D49" s="1">
        <f t="shared" si="0"/>
        <v>45.039999999999985</v>
      </c>
      <c r="E49" s="3">
        <f t="shared" si="3"/>
        <v>0.88</v>
      </c>
      <c r="F49" s="1">
        <v>0.10160000000000001</v>
      </c>
      <c r="G49" s="1">
        <v>5.0430000000000001</v>
      </c>
      <c r="H49" s="3">
        <f t="shared" si="1"/>
        <v>706.828674231386</v>
      </c>
    </row>
    <row r="50" spans="1:8" x14ac:dyDescent="0.25">
      <c r="A50">
        <f t="shared" si="2"/>
        <v>46</v>
      </c>
      <c r="B50">
        <v>1</v>
      </c>
      <c r="C50" s="5">
        <v>100</v>
      </c>
      <c r="D50" s="1">
        <f t="shared" si="0"/>
        <v>45.919999999999987</v>
      </c>
      <c r="E50" s="3">
        <f t="shared" si="3"/>
        <v>1</v>
      </c>
      <c r="F50" s="1">
        <v>0.10160000000000001</v>
      </c>
      <c r="G50" s="1">
        <v>5.8049999999999997</v>
      </c>
      <c r="H50" s="3">
        <f t="shared" si="1"/>
        <v>715.99516149982401</v>
      </c>
    </row>
    <row r="51" spans="1:8" x14ac:dyDescent="0.25">
      <c r="A51">
        <f t="shared" si="2"/>
        <v>47</v>
      </c>
      <c r="B51">
        <v>1</v>
      </c>
      <c r="C51" s="5">
        <v>92</v>
      </c>
      <c r="D51" s="1">
        <f t="shared" si="0"/>
        <v>46.919999999999987</v>
      </c>
      <c r="E51" s="3">
        <f t="shared" si="3"/>
        <v>0.92</v>
      </c>
      <c r="F51" s="1">
        <v>0.10160000000000001</v>
      </c>
      <c r="G51" s="1">
        <v>5.39</v>
      </c>
      <c r="H51" s="3">
        <f t="shared" si="1"/>
        <v>722.61804300716244</v>
      </c>
    </row>
    <row r="52" spans="1:8" x14ac:dyDescent="0.25">
      <c r="A52">
        <f t="shared" si="2"/>
        <v>48</v>
      </c>
      <c r="B52">
        <v>1</v>
      </c>
      <c r="C52" s="5">
        <v>91</v>
      </c>
      <c r="D52" s="1">
        <f t="shared" si="0"/>
        <v>47.839999999999989</v>
      </c>
      <c r="E52" s="6">
        <f t="shared" si="3"/>
        <v>0.91</v>
      </c>
      <c r="F52" s="1">
        <v>0.10160000000000001</v>
      </c>
      <c r="G52" s="1">
        <v>5.3579999999999997</v>
      </c>
      <c r="H52" s="3">
        <f t="shared" si="1"/>
        <v>726.22163071169359</v>
      </c>
    </row>
    <row r="53" spans="1:8" x14ac:dyDescent="0.25">
      <c r="A53">
        <f t="shared" si="2"/>
        <v>49</v>
      </c>
      <c r="B53">
        <v>2</v>
      </c>
      <c r="C53" s="5">
        <v>101</v>
      </c>
      <c r="D53" s="1">
        <f t="shared" si="0"/>
        <v>48.749999999999986</v>
      </c>
      <c r="E53" s="6">
        <f t="shared" si="3"/>
        <v>1.01</v>
      </c>
      <c r="F53" s="1">
        <v>0.10160000000000001</v>
      </c>
      <c r="G53" s="1">
        <v>5.9279999999999999</v>
      </c>
      <c r="H53" s="3">
        <f t="shared" si="1"/>
        <v>723.92684991104579</v>
      </c>
    </row>
    <row r="54" spans="1:8" x14ac:dyDescent="0.25">
      <c r="A54">
        <f t="shared" si="2"/>
        <v>50</v>
      </c>
      <c r="B54">
        <v>2</v>
      </c>
      <c r="C54" s="5">
        <v>110</v>
      </c>
      <c r="D54" s="1">
        <f t="shared" si="0"/>
        <v>49.759999999999984</v>
      </c>
      <c r="E54" s="6">
        <f t="shared" si="3"/>
        <v>1.1000000000000001</v>
      </c>
      <c r="F54" s="1">
        <v>0.10160000000000001</v>
      </c>
      <c r="G54" s="1">
        <v>6.5049999999999999</v>
      </c>
      <c r="H54" s="3">
        <f t="shared" si="1"/>
        <v>729.39449151301471</v>
      </c>
    </row>
    <row r="55" spans="1:8" x14ac:dyDescent="0.25">
      <c r="A55">
        <f t="shared" si="2"/>
        <v>51</v>
      </c>
      <c r="B55">
        <v>3</v>
      </c>
      <c r="C55" s="5">
        <v>100</v>
      </c>
      <c r="D55" s="1">
        <f t="shared" si="0"/>
        <v>50.859999999999985</v>
      </c>
      <c r="E55" s="6">
        <f t="shared" si="3"/>
        <v>1</v>
      </c>
      <c r="F55" s="1">
        <v>0.10160000000000001</v>
      </c>
      <c r="G55" s="1">
        <v>5.944</v>
      </c>
      <c r="H55" s="3">
        <f t="shared" si="1"/>
        <v>733.13957621963027</v>
      </c>
    </row>
    <row r="56" spans="1:8" x14ac:dyDescent="0.25">
      <c r="A56">
        <f t="shared" si="2"/>
        <v>52</v>
      </c>
      <c r="B56">
        <v>3</v>
      </c>
      <c r="C56" s="5">
        <v>100</v>
      </c>
      <c r="D56" s="1">
        <f t="shared" si="0"/>
        <v>51.859999999999985</v>
      </c>
      <c r="E56" s="6">
        <f t="shared" si="3"/>
        <v>1</v>
      </c>
      <c r="F56" s="1">
        <v>0.10160000000000001</v>
      </c>
      <c r="G56" s="1">
        <v>6.0149999999999997</v>
      </c>
      <c r="H56" s="3">
        <f t="shared" si="1"/>
        <v>741.89679524917165</v>
      </c>
    </row>
    <row r="57" spans="1:8" x14ac:dyDescent="0.25">
      <c r="A57">
        <f t="shared" si="2"/>
        <v>53</v>
      </c>
      <c r="B57">
        <v>3</v>
      </c>
      <c r="C57" s="5">
        <v>104</v>
      </c>
      <c r="D57" s="1">
        <f t="shared" si="0"/>
        <v>52.859999999999985</v>
      </c>
      <c r="E57" s="6">
        <f t="shared" si="3"/>
        <v>1.04</v>
      </c>
      <c r="F57" s="1">
        <v>0.10160000000000001</v>
      </c>
      <c r="G57" s="1">
        <v>6.2770000000000001</v>
      </c>
      <c r="H57" s="3">
        <f t="shared" si="1"/>
        <v>744.43477584549066</v>
      </c>
    </row>
    <row r="58" spans="1:8" x14ac:dyDescent="0.25">
      <c r="A58">
        <f t="shared" si="2"/>
        <v>54</v>
      </c>
      <c r="B58">
        <v>4</v>
      </c>
      <c r="C58" s="5">
        <v>107</v>
      </c>
      <c r="D58" s="1">
        <f t="shared" si="0"/>
        <v>53.899999999999984</v>
      </c>
      <c r="E58" s="6">
        <f t="shared" si="3"/>
        <v>1.07</v>
      </c>
      <c r="F58" s="1">
        <v>0.10160000000000001</v>
      </c>
      <c r="G58" s="1">
        <v>6.4279999999999999</v>
      </c>
      <c r="H58" s="3">
        <f t="shared" si="1"/>
        <v>740.96885509927301</v>
      </c>
    </row>
    <row r="59" spans="1:8" x14ac:dyDescent="0.25">
      <c r="A59">
        <f t="shared" si="2"/>
        <v>55</v>
      </c>
      <c r="B59">
        <v>2</v>
      </c>
      <c r="C59" s="5">
        <v>104</v>
      </c>
      <c r="D59" s="1">
        <f t="shared" si="0"/>
        <v>54.969999999999985</v>
      </c>
      <c r="E59" s="6">
        <f t="shared" si="3"/>
        <v>1.04</v>
      </c>
      <c r="F59" s="1">
        <v>0.10160000000000001</v>
      </c>
      <c r="G59" s="1">
        <v>6.3220000000000001</v>
      </c>
      <c r="H59" s="3">
        <f t="shared" si="1"/>
        <v>749.77165093120789</v>
      </c>
    </row>
    <row r="60" spans="1:8" x14ac:dyDescent="0.25">
      <c r="A60">
        <f t="shared" si="2"/>
        <v>56</v>
      </c>
      <c r="B60">
        <v>3</v>
      </c>
      <c r="C60" s="5">
        <v>105</v>
      </c>
      <c r="D60" s="1">
        <f t="shared" si="0"/>
        <v>56.009999999999984</v>
      </c>
      <c r="E60" s="6">
        <f t="shared" si="3"/>
        <v>1.05</v>
      </c>
      <c r="F60" s="1">
        <v>0.10160000000000001</v>
      </c>
      <c r="G60" s="1">
        <v>6.48</v>
      </c>
      <c r="H60" s="3">
        <f t="shared" si="1"/>
        <v>761.19086936858378</v>
      </c>
    </row>
    <row r="61" spans="1:8" x14ac:dyDescent="0.25">
      <c r="A61">
        <f t="shared" si="2"/>
        <v>57</v>
      </c>
      <c r="B61">
        <v>4</v>
      </c>
      <c r="C61" s="5">
        <v>96</v>
      </c>
      <c r="D61" s="1">
        <f t="shared" si="0"/>
        <v>57.059999999999981</v>
      </c>
      <c r="E61" s="6">
        <f t="shared" si="3"/>
        <v>0.96</v>
      </c>
      <c r="F61" s="1">
        <v>0.10160000000000001</v>
      </c>
      <c r="G61" s="1">
        <v>5.8609999999999998</v>
      </c>
      <c r="H61" s="3">
        <f t="shared" si="1"/>
        <v>753.02319149269113</v>
      </c>
    </row>
    <row r="62" spans="1:8" x14ac:dyDescent="0.25">
      <c r="A62">
        <f t="shared" si="2"/>
        <v>58</v>
      </c>
      <c r="B62" t="s">
        <v>11</v>
      </c>
      <c r="C62" s="5">
        <v>105</v>
      </c>
      <c r="D62" s="1">
        <f t="shared" si="0"/>
        <v>58.019999999999982</v>
      </c>
      <c r="E62" s="6">
        <f t="shared" si="3"/>
        <v>1.05</v>
      </c>
      <c r="F62" s="1">
        <v>0.10050000000000001</v>
      </c>
      <c r="G62" s="1">
        <v>6.3259999999999996</v>
      </c>
      <c r="H62" s="3">
        <f t="shared" si="1"/>
        <v>759.45674624455046</v>
      </c>
    </row>
    <row r="63" spans="1:8" x14ac:dyDescent="0.25">
      <c r="A63">
        <f t="shared" si="2"/>
        <v>59</v>
      </c>
      <c r="B63">
        <v>2</v>
      </c>
      <c r="C63" s="5">
        <v>105</v>
      </c>
      <c r="D63" s="1">
        <f t="shared" si="0"/>
        <v>59.069999999999979</v>
      </c>
      <c r="E63" s="6">
        <f t="shared" si="3"/>
        <v>1.05</v>
      </c>
      <c r="F63" s="1">
        <v>0.10050000000000001</v>
      </c>
      <c r="G63" s="1">
        <v>6.4340000000000002</v>
      </c>
      <c r="H63" s="3">
        <f t="shared" si="1"/>
        <v>772.42249531100822</v>
      </c>
    </row>
    <row r="64" spans="1:8" x14ac:dyDescent="0.25">
      <c r="A64">
        <f t="shared" si="2"/>
        <v>60</v>
      </c>
      <c r="B64" t="s">
        <v>12</v>
      </c>
      <c r="C64" s="5">
        <v>105</v>
      </c>
      <c r="D64" s="1">
        <f t="shared" si="0"/>
        <v>60.119999999999976</v>
      </c>
      <c r="E64" s="6">
        <f t="shared" si="3"/>
        <v>1.05</v>
      </c>
      <c r="F64" s="1">
        <v>0.10050000000000001</v>
      </c>
      <c r="G64" s="1">
        <v>6.5170000000000003</v>
      </c>
      <c r="H64" s="3">
        <f t="shared" si="1"/>
        <v>782.38691357504513</v>
      </c>
    </row>
    <row r="65" spans="1:8" x14ac:dyDescent="0.25">
      <c r="A65">
        <f t="shared" si="2"/>
        <v>61</v>
      </c>
      <c r="B65">
        <v>3</v>
      </c>
      <c r="C65" s="5">
        <v>104</v>
      </c>
      <c r="D65" s="1">
        <f t="shared" si="0"/>
        <v>61.169999999999973</v>
      </c>
      <c r="E65" s="6">
        <f t="shared" si="3"/>
        <v>1.04</v>
      </c>
      <c r="F65" s="1">
        <v>0.10050000000000001</v>
      </c>
      <c r="G65" s="1">
        <v>6.4249999999999998</v>
      </c>
      <c r="H65" s="3">
        <f t="shared" si="1"/>
        <v>778.75876637811882</v>
      </c>
    </row>
    <row r="66" spans="1:8" x14ac:dyDescent="0.25">
      <c r="A66">
        <f t="shared" si="2"/>
        <v>62</v>
      </c>
      <c r="B66">
        <v>2</v>
      </c>
      <c r="C66" s="5">
        <v>105</v>
      </c>
      <c r="D66" s="1">
        <f t="shared" si="0"/>
        <v>62.209999999999972</v>
      </c>
      <c r="E66" s="6">
        <f t="shared" si="3"/>
        <v>1.05</v>
      </c>
      <c r="F66" s="1">
        <v>0.1003</v>
      </c>
      <c r="G66" s="1">
        <v>6.4930000000000003</v>
      </c>
      <c r="H66" s="3">
        <f t="shared" si="1"/>
        <v>782.61743185763601</v>
      </c>
    </row>
    <row r="67" spans="1:8" x14ac:dyDescent="0.25">
      <c r="A67">
        <f t="shared" si="2"/>
        <v>63</v>
      </c>
      <c r="B67" t="s">
        <v>12</v>
      </c>
      <c r="C67" s="5">
        <v>98</v>
      </c>
      <c r="D67" s="1">
        <f t="shared" si="0"/>
        <v>63.25999999999997</v>
      </c>
      <c r="E67" s="6">
        <f t="shared" si="3"/>
        <v>0.98</v>
      </c>
      <c r="F67" s="1">
        <v>0.1003</v>
      </c>
      <c r="G67" s="1">
        <v>6.0739999999999998</v>
      </c>
      <c r="H67" s="3">
        <f t="shared" si="1"/>
        <v>784.40820022165883</v>
      </c>
    </row>
    <row r="68" spans="1:8" x14ac:dyDescent="0.25">
      <c r="A68">
        <f t="shared" si="2"/>
        <v>64</v>
      </c>
      <c r="B68" t="s">
        <v>12</v>
      </c>
      <c r="C68" s="5">
        <v>105</v>
      </c>
      <c r="D68" s="1">
        <f t="shared" si="0"/>
        <v>64.239999999999966</v>
      </c>
      <c r="E68" s="6">
        <f t="shared" si="3"/>
        <v>1.05</v>
      </c>
      <c r="F68" s="1">
        <v>0.1003</v>
      </c>
      <c r="G68" s="1">
        <v>6.4749999999999996</v>
      </c>
      <c r="H68" s="3">
        <f t="shared" si="1"/>
        <v>780.44784710891622</v>
      </c>
    </row>
    <row r="69" spans="1:8" x14ac:dyDescent="0.25">
      <c r="A69">
        <f t="shared" si="2"/>
        <v>65</v>
      </c>
      <c r="B69">
        <v>1</v>
      </c>
      <c r="C69" s="5">
        <v>98</v>
      </c>
      <c r="D69" s="1">
        <f t="shared" si="0"/>
        <v>65.289999999999964</v>
      </c>
      <c r="E69" s="6">
        <f t="shared" si="3"/>
        <v>0.98</v>
      </c>
      <c r="F69" s="1">
        <v>0.1003</v>
      </c>
      <c r="G69" s="1">
        <v>6.1630000000000003</v>
      </c>
      <c r="H69" s="3">
        <f t="shared" si="1"/>
        <v>795.90183371190051</v>
      </c>
    </row>
    <row r="70" spans="1:8" x14ac:dyDescent="0.25">
      <c r="A70">
        <f t="shared" si="2"/>
        <v>66</v>
      </c>
      <c r="B70">
        <v>1</v>
      </c>
      <c r="C70" s="5">
        <v>106</v>
      </c>
      <c r="D70" s="1">
        <f t="shared" ref="D70:D104" si="4">+D69+(C69/100)</f>
        <v>66.269999999999968</v>
      </c>
      <c r="E70" s="6">
        <f t="shared" si="3"/>
        <v>1.06</v>
      </c>
      <c r="F70" s="1">
        <v>0.1003</v>
      </c>
      <c r="G70" s="1">
        <v>6.6829999999999998</v>
      </c>
      <c r="H70" s="3">
        <f t="shared" ref="H70:H104" si="5">G70/(E70*((F70/2)^2)*3.1417)</f>
        <v>797.91937209008995</v>
      </c>
    </row>
    <row r="71" spans="1:8" x14ac:dyDescent="0.25">
      <c r="A71">
        <f t="shared" ref="A71:A104" si="6">+A70+1</f>
        <v>67</v>
      </c>
      <c r="B71" t="s">
        <v>24</v>
      </c>
      <c r="C71" s="5">
        <v>105</v>
      </c>
      <c r="D71" s="1">
        <f t="shared" si="4"/>
        <v>67.32999999999997</v>
      </c>
      <c r="E71" s="6">
        <f t="shared" si="3"/>
        <v>1.05</v>
      </c>
      <c r="F71" s="1">
        <v>0.1003</v>
      </c>
      <c r="G71" s="1">
        <v>6.69</v>
      </c>
      <c r="H71" s="3">
        <f t="shared" si="5"/>
        <v>806.36233160751351</v>
      </c>
    </row>
    <row r="72" spans="1:8" x14ac:dyDescent="0.25">
      <c r="A72">
        <f t="shared" si="6"/>
        <v>68</v>
      </c>
      <c r="B72">
        <v>2</v>
      </c>
      <c r="C72" s="5">
        <v>105</v>
      </c>
      <c r="D72" s="1">
        <f t="shared" si="4"/>
        <v>68.379999999999967</v>
      </c>
      <c r="E72" s="6">
        <f t="shared" si="3"/>
        <v>1.05</v>
      </c>
      <c r="F72" s="1">
        <v>0.1003</v>
      </c>
      <c r="G72" s="1">
        <v>6.726</v>
      </c>
      <c r="H72" s="3">
        <f t="shared" si="5"/>
        <v>810.70150110495297</v>
      </c>
    </row>
    <row r="73" spans="1:8" x14ac:dyDescent="0.25">
      <c r="A73">
        <f t="shared" si="6"/>
        <v>69</v>
      </c>
      <c r="B73">
        <v>2</v>
      </c>
      <c r="C73" s="5">
        <v>105</v>
      </c>
      <c r="D73" s="1">
        <f t="shared" si="4"/>
        <v>69.429999999999964</v>
      </c>
      <c r="E73" s="6">
        <f t="shared" si="3"/>
        <v>1.05</v>
      </c>
      <c r="F73" s="1">
        <v>0.1003</v>
      </c>
      <c r="G73" s="1">
        <v>6.726</v>
      </c>
      <c r="H73" s="3">
        <f t="shared" si="5"/>
        <v>810.70150110495297</v>
      </c>
    </row>
    <row r="74" spans="1:8" x14ac:dyDescent="0.25">
      <c r="A74">
        <f t="shared" si="6"/>
        <v>70</v>
      </c>
      <c r="B74" t="s">
        <v>25</v>
      </c>
      <c r="C74" s="5">
        <v>105</v>
      </c>
      <c r="D74" s="1">
        <f t="shared" si="4"/>
        <v>70.479999999999961</v>
      </c>
      <c r="E74" s="6">
        <f t="shared" si="3"/>
        <v>1.05</v>
      </c>
      <c r="F74" s="1">
        <v>0.1003</v>
      </c>
      <c r="G74" s="1">
        <v>6.71</v>
      </c>
      <c r="H74" s="3">
        <f t="shared" si="5"/>
        <v>808.77298132831322</v>
      </c>
    </row>
    <row r="75" spans="1:8" x14ac:dyDescent="0.25">
      <c r="A75">
        <f t="shared" si="6"/>
        <v>71</v>
      </c>
      <c r="B75">
        <v>4</v>
      </c>
      <c r="C75" s="5">
        <v>105</v>
      </c>
      <c r="D75" s="1">
        <f t="shared" si="4"/>
        <v>71.529999999999959</v>
      </c>
      <c r="E75" s="6">
        <f t="shared" si="3"/>
        <v>1.05</v>
      </c>
      <c r="F75" s="1">
        <v>0.1003</v>
      </c>
      <c r="G75" s="1">
        <v>6.6509999999999998</v>
      </c>
      <c r="H75" s="3">
        <f t="shared" si="5"/>
        <v>801.66156465195388</v>
      </c>
    </row>
    <row r="76" spans="1:8" x14ac:dyDescent="0.25">
      <c r="A76">
        <f t="shared" si="6"/>
        <v>72</v>
      </c>
      <c r="B76" t="s">
        <v>26</v>
      </c>
      <c r="C76" s="5">
        <v>108</v>
      </c>
      <c r="D76" s="1">
        <f t="shared" si="4"/>
        <v>72.579999999999956</v>
      </c>
      <c r="E76" s="6">
        <f t="shared" si="3"/>
        <v>1.08</v>
      </c>
      <c r="F76" s="1">
        <v>0.1003</v>
      </c>
      <c r="G76" s="1">
        <v>7.0250000000000004</v>
      </c>
      <c r="H76" s="3">
        <f t="shared" si="5"/>
        <v>823.22013903005063</v>
      </c>
    </row>
    <row r="77" spans="1:8" x14ac:dyDescent="0.25">
      <c r="A77">
        <f t="shared" si="6"/>
        <v>73</v>
      </c>
      <c r="B77">
        <v>3</v>
      </c>
      <c r="C77" s="5">
        <v>105</v>
      </c>
      <c r="D77" s="1">
        <f t="shared" si="4"/>
        <v>73.659999999999954</v>
      </c>
      <c r="E77" s="6">
        <f t="shared" si="3"/>
        <v>1.05</v>
      </c>
      <c r="F77" s="1">
        <v>0.1003</v>
      </c>
      <c r="G77" s="1">
        <v>6.734</v>
      </c>
      <c r="H77" s="3">
        <f t="shared" si="5"/>
        <v>811.6657609932729</v>
      </c>
    </row>
    <row r="78" spans="1:8" x14ac:dyDescent="0.25">
      <c r="A78">
        <f t="shared" si="6"/>
        <v>74</v>
      </c>
      <c r="B78" t="s">
        <v>15</v>
      </c>
      <c r="C78" s="5">
        <v>99</v>
      </c>
      <c r="D78" s="1">
        <f t="shared" si="4"/>
        <v>74.709999999999951</v>
      </c>
      <c r="E78" s="6">
        <f t="shared" si="3"/>
        <v>0.99</v>
      </c>
      <c r="F78" s="1">
        <v>0.1003</v>
      </c>
      <c r="G78" s="1">
        <v>6.4119999999999999</v>
      </c>
      <c r="H78" s="3">
        <f t="shared" si="5"/>
        <v>819.69395506345154</v>
      </c>
    </row>
    <row r="79" spans="1:8" x14ac:dyDescent="0.25">
      <c r="A79">
        <f t="shared" si="6"/>
        <v>75</v>
      </c>
      <c r="B79">
        <v>3</v>
      </c>
      <c r="C79" s="5">
        <v>105</v>
      </c>
      <c r="D79" s="1">
        <f t="shared" si="4"/>
        <v>75.699999999999946</v>
      </c>
      <c r="E79" s="6">
        <f t="shared" si="3"/>
        <v>1.05</v>
      </c>
      <c r="F79" s="1">
        <v>0.1003</v>
      </c>
      <c r="G79" s="1">
        <v>6.78</v>
      </c>
      <c r="H79" s="3">
        <f t="shared" si="5"/>
        <v>817.21025535111232</v>
      </c>
    </row>
    <row r="80" spans="1:8" x14ac:dyDescent="0.25">
      <c r="A80">
        <f t="shared" si="6"/>
        <v>76</v>
      </c>
      <c r="B80">
        <v>3</v>
      </c>
      <c r="C80" s="5">
        <v>105</v>
      </c>
      <c r="D80" s="1">
        <f t="shared" si="4"/>
        <v>76.749999999999943</v>
      </c>
      <c r="E80" s="6">
        <f t="shared" si="3"/>
        <v>1.05</v>
      </c>
      <c r="F80" s="1">
        <v>0.1003</v>
      </c>
      <c r="G80" s="1">
        <v>6.7590000000000003</v>
      </c>
      <c r="H80" s="3">
        <f t="shared" si="5"/>
        <v>814.67907314427259</v>
      </c>
    </row>
    <row r="81" spans="1:8" x14ac:dyDescent="0.25">
      <c r="A81">
        <f t="shared" si="6"/>
        <v>77</v>
      </c>
      <c r="B81">
        <v>6</v>
      </c>
      <c r="C81" s="5">
        <v>105</v>
      </c>
      <c r="D81" s="1">
        <f t="shared" si="4"/>
        <v>77.79999999999994</v>
      </c>
      <c r="E81" s="6">
        <f t="shared" si="3"/>
        <v>1.05</v>
      </c>
      <c r="F81" s="1">
        <v>0.1003</v>
      </c>
      <c r="G81" s="1">
        <v>6.7510000000000003</v>
      </c>
      <c r="H81" s="3">
        <f t="shared" si="5"/>
        <v>813.71481325595266</v>
      </c>
    </row>
    <row r="82" spans="1:8" x14ac:dyDescent="0.25">
      <c r="A82">
        <f t="shared" si="6"/>
        <v>78</v>
      </c>
      <c r="B82" t="s">
        <v>11</v>
      </c>
      <c r="C82" s="5">
        <v>105</v>
      </c>
      <c r="D82" s="1">
        <f t="shared" si="4"/>
        <v>78.849999999999937</v>
      </c>
      <c r="E82" s="6">
        <f t="shared" si="3"/>
        <v>1.05</v>
      </c>
      <c r="F82" s="1">
        <v>0.1003</v>
      </c>
      <c r="G82" s="1">
        <v>6.8520000000000003</v>
      </c>
      <c r="H82" s="3">
        <f t="shared" si="5"/>
        <v>825.88859434599135</v>
      </c>
    </row>
    <row r="83" spans="1:8" x14ac:dyDescent="0.25">
      <c r="A83">
        <f t="shared" si="6"/>
        <v>79</v>
      </c>
      <c r="B83" t="s">
        <v>27</v>
      </c>
      <c r="C83" s="5">
        <v>105</v>
      </c>
      <c r="D83" s="1">
        <f t="shared" si="4"/>
        <v>79.899999999999935</v>
      </c>
      <c r="E83" s="6">
        <f t="shared" si="3"/>
        <v>1.05</v>
      </c>
      <c r="F83" s="1">
        <v>0.1003</v>
      </c>
      <c r="G83" s="1">
        <v>6.9039999999999999</v>
      </c>
      <c r="H83" s="3">
        <f t="shared" si="5"/>
        <v>832.15628362007067</v>
      </c>
    </row>
    <row r="84" spans="1:8" x14ac:dyDescent="0.25">
      <c r="A84">
        <f t="shared" si="6"/>
        <v>80</v>
      </c>
      <c r="B84">
        <v>3</v>
      </c>
      <c r="C84" s="5">
        <v>93</v>
      </c>
      <c r="D84" s="1">
        <f t="shared" si="4"/>
        <v>80.949999999999932</v>
      </c>
      <c r="E84" s="6">
        <f t="shared" si="3"/>
        <v>0.93</v>
      </c>
      <c r="F84" s="1">
        <v>0.1003</v>
      </c>
      <c r="G84" s="1">
        <v>6.1440000000000001</v>
      </c>
      <c r="H84" s="3">
        <f t="shared" si="5"/>
        <v>836.10663864641356</v>
      </c>
    </row>
    <row r="85" spans="1:8" x14ac:dyDescent="0.25">
      <c r="A85">
        <f t="shared" si="6"/>
        <v>81</v>
      </c>
      <c r="B85">
        <v>3</v>
      </c>
      <c r="C85" s="5">
        <v>95</v>
      </c>
      <c r="D85" s="1">
        <f t="shared" si="4"/>
        <v>81.879999999999939</v>
      </c>
      <c r="E85" s="6">
        <f t="shared" si="3"/>
        <v>0.95</v>
      </c>
      <c r="F85" s="1">
        <v>0.1003</v>
      </c>
      <c r="G85" s="1">
        <v>6.1580000000000004</v>
      </c>
      <c r="H85" s="3">
        <f t="shared" si="5"/>
        <v>820.36947524837115</v>
      </c>
    </row>
    <row r="86" spans="1:8" x14ac:dyDescent="0.25">
      <c r="A86">
        <f t="shared" si="6"/>
        <v>82</v>
      </c>
      <c r="B86">
        <v>3</v>
      </c>
      <c r="C86" s="5">
        <v>105</v>
      </c>
      <c r="D86" s="1">
        <f t="shared" si="4"/>
        <v>82.829999999999941</v>
      </c>
      <c r="E86" s="6">
        <f t="shared" si="3"/>
        <v>1.05</v>
      </c>
      <c r="F86" s="1">
        <v>0.1003</v>
      </c>
      <c r="G86" s="1">
        <v>6.9560000000000004</v>
      </c>
      <c r="H86" s="3">
        <f t="shared" si="5"/>
        <v>838.4239728941501</v>
      </c>
    </row>
    <row r="87" spans="1:8" x14ac:dyDescent="0.25">
      <c r="A87">
        <f t="shared" si="6"/>
        <v>83</v>
      </c>
      <c r="B87">
        <v>2</v>
      </c>
      <c r="C87" s="5">
        <v>92</v>
      </c>
      <c r="D87" s="1">
        <f t="shared" si="4"/>
        <v>83.879999999999939</v>
      </c>
      <c r="E87" s="6">
        <f t="shared" si="3"/>
        <v>0.92</v>
      </c>
      <c r="F87" s="1">
        <v>0.1003</v>
      </c>
      <c r="G87" s="1">
        <v>6.2089999999999996</v>
      </c>
      <c r="H87" s="3">
        <f t="shared" si="5"/>
        <v>854.13643055803664</v>
      </c>
    </row>
    <row r="88" spans="1:8" x14ac:dyDescent="0.25">
      <c r="A88">
        <f t="shared" si="6"/>
        <v>84</v>
      </c>
      <c r="B88" t="s">
        <v>11</v>
      </c>
      <c r="C88" s="5">
        <v>104</v>
      </c>
      <c r="D88" s="1">
        <f t="shared" si="4"/>
        <v>84.79999999999994</v>
      </c>
      <c r="E88" s="6">
        <f t="shared" ref="E88:E104" si="7">+C88/100</f>
        <v>1.04</v>
      </c>
      <c r="F88" s="1">
        <v>0.10050000000000001</v>
      </c>
      <c r="G88" s="1">
        <v>6.9669999999999996</v>
      </c>
      <c r="H88" s="3">
        <f t="shared" si="5"/>
        <v>844.45328021110561</v>
      </c>
    </row>
    <row r="89" spans="1:8" x14ac:dyDescent="0.25">
      <c r="A89">
        <f t="shared" si="6"/>
        <v>85</v>
      </c>
      <c r="B89" t="s">
        <v>11</v>
      </c>
      <c r="C89" s="5">
        <v>100</v>
      </c>
      <c r="D89" s="1">
        <f t="shared" si="4"/>
        <v>85.839999999999947</v>
      </c>
      <c r="E89" s="6">
        <f t="shared" si="7"/>
        <v>1</v>
      </c>
      <c r="F89" s="1">
        <v>0.10050000000000001</v>
      </c>
      <c r="G89" s="1">
        <v>6.7329999999999997</v>
      </c>
      <c r="H89" s="3">
        <f t="shared" si="5"/>
        <v>848.73433229335865</v>
      </c>
    </row>
    <row r="90" spans="1:8" x14ac:dyDescent="0.25">
      <c r="A90">
        <f t="shared" si="6"/>
        <v>86</v>
      </c>
      <c r="B90">
        <v>3</v>
      </c>
      <c r="C90" s="5">
        <v>105</v>
      </c>
      <c r="D90" s="1">
        <f t="shared" si="4"/>
        <v>86.839999999999947</v>
      </c>
      <c r="E90" s="6">
        <f t="shared" si="7"/>
        <v>1.05</v>
      </c>
      <c r="F90" s="1">
        <v>0.10050000000000001</v>
      </c>
      <c r="G90" s="1">
        <v>7.15</v>
      </c>
      <c r="H90" s="3">
        <f t="shared" si="5"/>
        <v>858.38060949233898</v>
      </c>
    </row>
    <row r="91" spans="1:8" x14ac:dyDescent="0.25">
      <c r="A91">
        <f t="shared" si="6"/>
        <v>87</v>
      </c>
      <c r="B91">
        <v>2</v>
      </c>
      <c r="C91" s="5">
        <v>104</v>
      </c>
      <c r="D91" s="1">
        <f t="shared" si="4"/>
        <v>87.889999999999944</v>
      </c>
      <c r="E91" s="6">
        <f t="shared" si="7"/>
        <v>1.04</v>
      </c>
      <c r="F91" s="1">
        <v>0.10050000000000001</v>
      </c>
      <c r="G91" s="1">
        <v>7.0309999999999997</v>
      </c>
      <c r="H91" s="3">
        <f t="shared" si="5"/>
        <v>852.21056597736242</v>
      </c>
    </row>
    <row r="92" spans="1:8" x14ac:dyDescent="0.25">
      <c r="A92">
        <f t="shared" si="6"/>
        <v>88</v>
      </c>
      <c r="B92">
        <v>3</v>
      </c>
      <c r="C92" s="5">
        <v>89</v>
      </c>
      <c r="D92" s="1">
        <f t="shared" si="4"/>
        <v>88.92999999999995</v>
      </c>
      <c r="E92" s="6">
        <f t="shared" si="7"/>
        <v>0.89</v>
      </c>
      <c r="F92" s="1">
        <v>0.10050000000000001</v>
      </c>
      <c r="G92" s="1">
        <v>5.9630000000000001</v>
      </c>
      <c r="H92" s="3">
        <f t="shared" si="5"/>
        <v>844.57448780120342</v>
      </c>
    </row>
    <row r="93" spans="1:8" x14ac:dyDescent="0.25">
      <c r="A93">
        <f t="shared" si="6"/>
        <v>89</v>
      </c>
      <c r="B93">
        <v>3</v>
      </c>
      <c r="C93" s="5">
        <v>105</v>
      </c>
      <c r="D93" s="1">
        <f t="shared" si="4"/>
        <v>89.819999999999951</v>
      </c>
      <c r="E93" s="6">
        <f t="shared" si="7"/>
        <v>1.05</v>
      </c>
      <c r="F93" s="1">
        <v>0.10050000000000001</v>
      </c>
      <c r="G93" s="1">
        <v>7.1470000000000002</v>
      </c>
      <c r="H93" s="3">
        <f t="shared" si="5"/>
        <v>858.02044979604841</v>
      </c>
    </row>
    <row r="94" spans="1:8" x14ac:dyDescent="0.25">
      <c r="A94">
        <f t="shared" si="6"/>
        <v>90</v>
      </c>
      <c r="B94">
        <v>3</v>
      </c>
      <c r="C94" s="5">
        <v>106</v>
      </c>
      <c r="D94" s="1">
        <f t="shared" si="4"/>
        <v>90.869999999999948</v>
      </c>
      <c r="E94" s="6">
        <f t="shared" si="7"/>
        <v>1.06</v>
      </c>
      <c r="F94" s="1">
        <v>0.10050000000000001</v>
      </c>
      <c r="G94" s="1">
        <v>7.1150000000000002</v>
      </c>
      <c r="H94" s="3">
        <f t="shared" si="5"/>
        <v>846.1204563088653</v>
      </c>
    </row>
    <row r="95" spans="1:8" x14ac:dyDescent="0.25">
      <c r="A95">
        <f t="shared" si="6"/>
        <v>91</v>
      </c>
      <c r="B95">
        <v>2</v>
      </c>
      <c r="C95" s="5">
        <v>105</v>
      </c>
      <c r="D95" s="1">
        <f t="shared" si="4"/>
        <v>91.92999999999995</v>
      </c>
      <c r="E95" s="6">
        <f t="shared" si="7"/>
        <v>1.05</v>
      </c>
      <c r="F95" s="1">
        <v>0.10050000000000001</v>
      </c>
      <c r="G95" s="1">
        <v>7.1120000000000001</v>
      </c>
      <c r="H95" s="3">
        <f t="shared" si="5"/>
        <v>853.81858667265931</v>
      </c>
    </row>
    <row r="96" spans="1:8" x14ac:dyDescent="0.25">
      <c r="A96">
        <f t="shared" si="6"/>
        <v>92</v>
      </c>
      <c r="B96">
        <v>2</v>
      </c>
      <c r="C96" s="5">
        <v>105</v>
      </c>
      <c r="D96" s="1">
        <f t="shared" si="4"/>
        <v>92.979999999999947</v>
      </c>
      <c r="E96" s="6">
        <f t="shared" si="7"/>
        <v>1.05</v>
      </c>
      <c r="F96" s="1">
        <v>0.10050000000000001</v>
      </c>
      <c r="G96" s="1"/>
      <c r="H96" s="3"/>
    </row>
    <row r="97" spans="1:8" x14ac:dyDescent="0.25">
      <c r="A97">
        <f t="shared" si="6"/>
        <v>93</v>
      </c>
      <c r="B97">
        <v>2</v>
      </c>
      <c r="C97" s="5">
        <v>87</v>
      </c>
      <c r="D97" s="1">
        <f t="shared" si="4"/>
        <v>94.029999999999944</v>
      </c>
      <c r="E97" s="6">
        <f t="shared" si="7"/>
        <v>0.87</v>
      </c>
      <c r="F97" s="1">
        <v>0.10050000000000001</v>
      </c>
      <c r="G97" s="1">
        <v>5.8040000000000003</v>
      </c>
      <c r="H97" s="3">
        <f t="shared" si="5"/>
        <v>840.9521920051784</v>
      </c>
    </row>
    <row r="98" spans="1:8" x14ac:dyDescent="0.25">
      <c r="A98">
        <f t="shared" si="6"/>
        <v>94</v>
      </c>
      <c r="B98">
        <v>1</v>
      </c>
      <c r="C98" s="5">
        <v>98</v>
      </c>
      <c r="D98" s="1">
        <f t="shared" si="4"/>
        <v>94.899999999999949</v>
      </c>
      <c r="E98" s="6">
        <f t="shared" si="7"/>
        <v>0.98</v>
      </c>
      <c r="F98" s="1">
        <v>0.10050000000000001</v>
      </c>
      <c r="G98" s="1">
        <v>6.8550000000000004</v>
      </c>
      <c r="H98" s="3">
        <f t="shared" si="5"/>
        <v>881.74811359690068</v>
      </c>
    </row>
    <row r="99" spans="1:8" x14ac:dyDescent="0.25">
      <c r="A99">
        <f t="shared" si="6"/>
        <v>95</v>
      </c>
      <c r="B99">
        <v>1</v>
      </c>
      <c r="C99" s="5">
        <v>92</v>
      </c>
      <c r="D99" s="1">
        <f t="shared" si="4"/>
        <v>95.879999999999953</v>
      </c>
      <c r="E99" s="6">
        <f t="shared" si="7"/>
        <v>0.92</v>
      </c>
      <c r="F99" s="1">
        <v>0.10050000000000001</v>
      </c>
      <c r="G99" s="1">
        <v>6.3890000000000002</v>
      </c>
      <c r="H99" s="3">
        <f t="shared" si="5"/>
        <v>875.4033748478081</v>
      </c>
    </row>
    <row r="100" spans="1:8" x14ac:dyDescent="0.25">
      <c r="A100">
        <f t="shared" si="6"/>
        <v>96</v>
      </c>
      <c r="B100">
        <v>1</v>
      </c>
      <c r="C100" s="5">
        <v>97</v>
      </c>
      <c r="D100" s="1">
        <f t="shared" si="4"/>
        <v>96.799999999999955</v>
      </c>
      <c r="E100" s="6">
        <f t="shared" si="7"/>
        <v>0.97</v>
      </c>
      <c r="F100" s="1">
        <v>0.10050000000000001</v>
      </c>
      <c r="G100" s="1">
        <v>6.609</v>
      </c>
      <c r="H100" s="3">
        <f t="shared" si="5"/>
        <v>858.86948605603231</v>
      </c>
    </row>
    <row r="101" spans="1:8" x14ac:dyDescent="0.25">
      <c r="A101">
        <f t="shared" si="6"/>
        <v>97</v>
      </c>
      <c r="B101">
        <v>1</v>
      </c>
      <c r="C101" s="5">
        <v>91</v>
      </c>
      <c r="D101" s="1">
        <f t="shared" si="4"/>
        <v>97.769999999999953</v>
      </c>
      <c r="E101" s="6">
        <f t="shared" si="7"/>
        <v>0.91</v>
      </c>
      <c r="F101" s="1">
        <v>0.10050000000000001</v>
      </c>
      <c r="G101" s="1">
        <v>6.1360000000000001</v>
      </c>
      <c r="H101" s="3">
        <f t="shared" si="5"/>
        <v>849.97688324556088</v>
      </c>
    </row>
    <row r="102" spans="1:8" x14ac:dyDescent="0.25">
      <c r="A102">
        <f t="shared" si="6"/>
        <v>98</v>
      </c>
      <c r="B102">
        <v>2</v>
      </c>
      <c r="C102" s="5">
        <v>105</v>
      </c>
      <c r="D102" s="1">
        <f t="shared" si="4"/>
        <v>98.67999999999995</v>
      </c>
      <c r="E102" s="6">
        <f t="shared" si="7"/>
        <v>1.05</v>
      </c>
      <c r="F102" s="1">
        <v>0.10050000000000001</v>
      </c>
      <c r="G102" s="1">
        <v>7.2389999999999999</v>
      </c>
      <c r="H102" s="3">
        <f t="shared" si="5"/>
        <v>869.06534714895679</v>
      </c>
    </row>
    <row r="103" spans="1:8" x14ac:dyDescent="0.25">
      <c r="A103">
        <f t="shared" si="6"/>
        <v>99</v>
      </c>
      <c r="B103">
        <v>3</v>
      </c>
      <c r="C103" s="5">
        <v>105</v>
      </c>
      <c r="D103" s="1">
        <f t="shared" si="4"/>
        <v>99.729999999999947</v>
      </c>
      <c r="E103" s="6">
        <f t="shared" si="7"/>
        <v>1.05</v>
      </c>
      <c r="F103" s="1">
        <v>0.10050000000000001</v>
      </c>
      <c r="G103" s="1">
        <v>7.258</v>
      </c>
      <c r="H103" s="3">
        <f t="shared" si="5"/>
        <v>871.34635855879662</v>
      </c>
    </row>
    <row r="104" spans="1:8" x14ac:dyDescent="0.25">
      <c r="A104">
        <f t="shared" si="6"/>
        <v>100</v>
      </c>
      <c r="B104">
        <v>2</v>
      </c>
      <c r="C104" s="5">
        <v>97</v>
      </c>
      <c r="D104" s="1">
        <f t="shared" si="4"/>
        <v>100.77999999999994</v>
      </c>
      <c r="E104" s="6">
        <f t="shared" si="7"/>
        <v>0.97</v>
      </c>
      <c r="F104" s="1">
        <v>0.10050000000000001</v>
      </c>
      <c r="G104" s="1">
        <v>6.7030000000000003</v>
      </c>
      <c r="H104" s="3">
        <f t="shared" si="5"/>
        <v>871.08521183743153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tabSelected="1" workbookViewId="0">
      <selection activeCell="A38" sqref="A38"/>
    </sheetView>
  </sheetViews>
  <sheetFormatPr defaultRowHeight="15" x14ac:dyDescent="0.25"/>
  <cols>
    <col min="8" max="8" width="10.5703125" bestFit="1" customWidth="1"/>
  </cols>
  <sheetData>
    <row r="1" spans="1:8" x14ac:dyDescent="0.25">
      <c r="A1" t="s">
        <v>30</v>
      </c>
      <c r="C1" t="s">
        <v>18</v>
      </c>
      <c r="D1" s="4" t="s">
        <v>34</v>
      </c>
      <c r="E1" t="s">
        <v>19</v>
      </c>
      <c r="F1" s="4" t="s">
        <v>35</v>
      </c>
      <c r="G1" t="s">
        <v>20</v>
      </c>
      <c r="H1" s="4">
        <v>2433</v>
      </c>
    </row>
    <row r="3" spans="1:8" x14ac:dyDescent="0.25">
      <c r="A3" t="s">
        <v>1</v>
      </c>
      <c r="B3" t="s">
        <v>2</v>
      </c>
      <c r="C3" s="5" t="s">
        <v>3</v>
      </c>
      <c r="D3" s="1" t="s">
        <v>4</v>
      </c>
      <c r="E3" s="3" t="s">
        <v>3</v>
      </c>
      <c r="F3" s="1" t="s">
        <v>5</v>
      </c>
      <c r="G3" s="1" t="s">
        <v>6</v>
      </c>
      <c r="H3" s="3" t="s">
        <v>7</v>
      </c>
    </row>
    <row r="4" spans="1:8" x14ac:dyDescent="0.25">
      <c r="C4" s="5" t="s">
        <v>9</v>
      </c>
      <c r="D4" s="1" t="s">
        <v>8</v>
      </c>
      <c r="E4" s="3" t="s">
        <v>8</v>
      </c>
      <c r="F4" s="1" t="s">
        <v>8</v>
      </c>
      <c r="G4" s="1" t="s">
        <v>10</v>
      </c>
      <c r="H4" s="3" t="s">
        <v>31</v>
      </c>
    </row>
    <row r="5" spans="1:8" x14ac:dyDescent="0.25">
      <c r="A5">
        <v>1</v>
      </c>
      <c r="B5">
        <v>6</v>
      </c>
      <c r="C5" s="5">
        <v>110</v>
      </c>
      <c r="D5" s="1">
        <v>0</v>
      </c>
      <c r="E5" s="3"/>
      <c r="F5" s="1"/>
      <c r="G5" s="1"/>
      <c r="H5" s="3"/>
    </row>
    <row r="6" spans="1:8" x14ac:dyDescent="0.25">
      <c r="A6">
        <f>+A5+1</f>
        <v>2</v>
      </c>
      <c r="B6">
        <v>2</v>
      </c>
      <c r="C6" s="5">
        <v>103</v>
      </c>
      <c r="D6" s="1">
        <f>+D5+(C5/100)</f>
        <v>1.1000000000000001</v>
      </c>
      <c r="E6" s="3">
        <f t="shared" ref="E6:E69" si="0">+C6/100</f>
        <v>1.03</v>
      </c>
      <c r="F6" s="1">
        <v>0.10130000000000002</v>
      </c>
      <c r="G6" s="1">
        <v>2.9590000000000001</v>
      </c>
      <c r="H6" s="3">
        <f>((G6)/((E6*(F6/2)^2)*3.1417))</f>
        <v>356.43810742184559</v>
      </c>
    </row>
    <row r="7" spans="1:8" x14ac:dyDescent="0.25">
      <c r="A7">
        <f t="shared" ref="A7:A70" si="1">+A6+1</f>
        <v>3</v>
      </c>
      <c r="B7">
        <v>1</v>
      </c>
      <c r="C7" s="5">
        <v>99</v>
      </c>
      <c r="D7" s="1">
        <f t="shared" ref="D7:D70" si="2">+D6+(C6/100)</f>
        <v>2.13</v>
      </c>
      <c r="E7" s="3">
        <f t="shared" si="0"/>
        <v>0.99</v>
      </c>
      <c r="F7" s="1">
        <v>0.10130000000000002</v>
      </c>
      <c r="G7" s="1">
        <v>3.3559999999999999</v>
      </c>
      <c r="H7" s="3">
        <f t="shared" ref="H7:H70" si="3">((G7)/((E7*(F7/2)^2)*3.1417))</f>
        <v>420.59407087534521</v>
      </c>
    </row>
    <row r="8" spans="1:8" x14ac:dyDescent="0.25">
      <c r="A8">
        <f t="shared" si="1"/>
        <v>4</v>
      </c>
      <c r="B8">
        <v>2</v>
      </c>
      <c r="C8" s="5">
        <v>104</v>
      </c>
      <c r="D8" s="1">
        <f t="shared" si="2"/>
        <v>3.12</v>
      </c>
      <c r="E8" s="3">
        <f t="shared" si="0"/>
        <v>1.04</v>
      </c>
      <c r="F8" s="1">
        <v>0.10130000000000002</v>
      </c>
      <c r="G8" s="1">
        <v>3.702</v>
      </c>
      <c r="H8" s="3">
        <f t="shared" si="3"/>
        <v>441.65124973546887</v>
      </c>
    </row>
    <row r="9" spans="1:8" x14ac:dyDescent="0.25">
      <c r="A9">
        <f t="shared" si="1"/>
        <v>5</v>
      </c>
      <c r="B9">
        <v>2</v>
      </c>
      <c r="C9" s="5">
        <v>99</v>
      </c>
      <c r="D9" s="1">
        <f t="shared" si="2"/>
        <v>4.16</v>
      </c>
      <c r="E9" s="3">
        <f t="shared" si="0"/>
        <v>0.99</v>
      </c>
      <c r="F9" s="1">
        <v>0.10130000000000002</v>
      </c>
      <c r="G9" s="1">
        <v>3.5840000000000001</v>
      </c>
      <c r="H9" s="3">
        <f t="shared" si="3"/>
        <v>449.16839988594677</v>
      </c>
    </row>
    <row r="10" spans="1:8" x14ac:dyDescent="0.25">
      <c r="A10">
        <f t="shared" si="1"/>
        <v>6</v>
      </c>
      <c r="B10">
        <v>2</v>
      </c>
      <c r="C10" s="5">
        <v>97</v>
      </c>
      <c r="D10" s="1">
        <f t="shared" si="2"/>
        <v>5.15</v>
      </c>
      <c r="E10" s="3">
        <f t="shared" si="0"/>
        <v>0.97</v>
      </c>
      <c r="F10" s="1">
        <v>0.10130000000000002</v>
      </c>
      <c r="G10" s="1">
        <v>3.5859999999999999</v>
      </c>
      <c r="H10" s="3">
        <f t="shared" si="3"/>
        <v>458.68542409882849</v>
      </c>
    </row>
    <row r="11" spans="1:8" x14ac:dyDescent="0.25">
      <c r="A11">
        <f t="shared" si="1"/>
        <v>7</v>
      </c>
      <c r="B11">
        <v>1</v>
      </c>
      <c r="C11" s="5">
        <v>95</v>
      </c>
      <c r="D11" s="1">
        <f t="shared" si="2"/>
        <v>6.12</v>
      </c>
      <c r="E11" s="3">
        <f t="shared" si="0"/>
        <v>0.95</v>
      </c>
      <c r="F11" s="1">
        <v>0.1012</v>
      </c>
      <c r="G11" s="1">
        <v>3.6469999999999998</v>
      </c>
      <c r="H11" s="3">
        <f t="shared" si="3"/>
        <v>477.25052225325084</v>
      </c>
    </row>
    <row r="12" spans="1:8" x14ac:dyDescent="0.25">
      <c r="A12">
        <f t="shared" si="1"/>
        <v>8</v>
      </c>
      <c r="B12">
        <v>1</v>
      </c>
      <c r="C12" s="5">
        <v>95</v>
      </c>
      <c r="D12" s="1">
        <f t="shared" si="2"/>
        <v>7.07</v>
      </c>
      <c r="E12" s="3">
        <f t="shared" si="0"/>
        <v>0.95</v>
      </c>
      <c r="F12" s="1">
        <v>0.1012</v>
      </c>
      <c r="G12" s="1">
        <v>3.794</v>
      </c>
      <c r="H12" s="3">
        <f t="shared" si="3"/>
        <v>496.48710760319</v>
      </c>
    </row>
    <row r="13" spans="1:8" x14ac:dyDescent="0.25">
      <c r="A13">
        <f t="shared" si="1"/>
        <v>9</v>
      </c>
      <c r="B13">
        <v>4</v>
      </c>
      <c r="C13" s="5">
        <v>96</v>
      </c>
      <c r="D13" s="1">
        <f t="shared" si="2"/>
        <v>8.02</v>
      </c>
      <c r="E13" s="3">
        <f t="shared" si="0"/>
        <v>0.96</v>
      </c>
      <c r="F13" s="1">
        <v>0.1012</v>
      </c>
      <c r="G13" s="1">
        <v>3.915</v>
      </c>
      <c r="H13" s="3">
        <f t="shared" si="3"/>
        <v>506.98462346060785</v>
      </c>
    </row>
    <row r="14" spans="1:8" x14ac:dyDescent="0.25">
      <c r="A14">
        <f t="shared" si="1"/>
        <v>10</v>
      </c>
      <c r="B14">
        <v>2</v>
      </c>
      <c r="C14" s="5">
        <v>102</v>
      </c>
      <c r="D14" s="1">
        <f t="shared" si="2"/>
        <v>8.98</v>
      </c>
      <c r="E14" s="3">
        <f t="shared" si="0"/>
        <v>1.02</v>
      </c>
      <c r="F14" s="1">
        <v>0.1012</v>
      </c>
      <c r="G14" s="1">
        <v>4.2169999999999996</v>
      </c>
      <c r="H14" s="3">
        <f t="shared" si="3"/>
        <v>513.96989728997266</v>
      </c>
    </row>
    <row r="15" spans="1:8" x14ac:dyDescent="0.25">
      <c r="A15">
        <f t="shared" si="1"/>
        <v>11</v>
      </c>
      <c r="B15">
        <v>2</v>
      </c>
      <c r="C15" s="5">
        <v>94</v>
      </c>
      <c r="D15" s="1">
        <f t="shared" si="2"/>
        <v>10</v>
      </c>
      <c r="E15" s="3">
        <f t="shared" si="0"/>
        <v>0.94</v>
      </c>
      <c r="F15" s="1">
        <v>0.1012</v>
      </c>
      <c r="G15" s="1">
        <v>3.992</v>
      </c>
      <c r="H15" s="3">
        <f t="shared" si="3"/>
        <v>527.95503170581151</v>
      </c>
    </row>
    <row r="16" spans="1:8" x14ac:dyDescent="0.25">
      <c r="A16">
        <f t="shared" si="1"/>
        <v>12</v>
      </c>
      <c r="B16">
        <v>1</v>
      </c>
      <c r="C16" s="5">
        <v>101</v>
      </c>
      <c r="D16" s="1">
        <f t="shared" si="2"/>
        <v>10.94</v>
      </c>
      <c r="E16" s="3">
        <f t="shared" si="0"/>
        <v>1.01</v>
      </c>
      <c r="F16" s="1">
        <v>0.1012</v>
      </c>
      <c r="G16" s="1">
        <v>4.4379999999999997</v>
      </c>
      <c r="H16" s="3">
        <f t="shared" si="3"/>
        <v>546.26097860765276</v>
      </c>
    </row>
    <row r="17" spans="1:8" x14ac:dyDescent="0.25">
      <c r="A17">
        <f t="shared" si="1"/>
        <v>13</v>
      </c>
      <c r="B17">
        <v>1</v>
      </c>
      <c r="C17" s="5">
        <v>90</v>
      </c>
      <c r="D17" s="1">
        <f t="shared" si="2"/>
        <v>11.95</v>
      </c>
      <c r="E17" s="3">
        <f t="shared" si="0"/>
        <v>0.9</v>
      </c>
      <c r="F17" s="1">
        <v>0.1012</v>
      </c>
      <c r="G17" s="1">
        <v>4.0250000000000004</v>
      </c>
      <c r="H17" s="3">
        <f t="shared" si="3"/>
        <v>555.97802896318683</v>
      </c>
    </row>
    <row r="18" spans="1:8" x14ac:dyDescent="0.25">
      <c r="A18">
        <f t="shared" si="1"/>
        <v>14</v>
      </c>
      <c r="B18">
        <v>1</v>
      </c>
      <c r="C18" s="5">
        <v>90</v>
      </c>
      <c r="D18" s="1">
        <f t="shared" si="2"/>
        <v>12.85</v>
      </c>
      <c r="E18" s="3">
        <f t="shared" si="0"/>
        <v>0.9</v>
      </c>
      <c r="F18" s="1">
        <v>0.1012</v>
      </c>
      <c r="G18" s="1">
        <v>4.0259999999999998</v>
      </c>
      <c r="H18" s="3">
        <f t="shared" si="3"/>
        <v>556.11616015050674</v>
      </c>
    </row>
    <row r="19" spans="1:8" x14ac:dyDescent="0.25">
      <c r="A19">
        <f t="shared" si="1"/>
        <v>15</v>
      </c>
      <c r="B19">
        <v>1</v>
      </c>
      <c r="C19" s="5">
        <v>94</v>
      </c>
      <c r="D19" s="1">
        <f t="shared" si="2"/>
        <v>13.75</v>
      </c>
      <c r="E19" s="3">
        <f t="shared" si="0"/>
        <v>0.94</v>
      </c>
      <c r="F19" s="1">
        <v>0.1012</v>
      </c>
      <c r="G19" s="1">
        <v>4.4160000000000004</v>
      </c>
      <c r="H19" s="3">
        <f t="shared" si="3"/>
        <v>584.03041583488573</v>
      </c>
    </row>
    <row r="20" spans="1:8" x14ac:dyDescent="0.25">
      <c r="A20">
        <f t="shared" si="1"/>
        <v>16</v>
      </c>
      <c r="B20">
        <v>1</v>
      </c>
      <c r="C20" s="5">
        <v>97</v>
      </c>
      <c r="D20" s="1">
        <f t="shared" si="2"/>
        <v>14.69</v>
      </c>
      <c r="E20" s="3">
        <f t="shared" si="0"/>
        <v>0.97</v>
      </c>
      <c r="F20" s="1">
        <v>0.1012</v>
      </c>
      <c r="G20" s="1">
        <v>4.5030000000000001</v>
      </c>
      <c r="H20" s="3">
        <f t="shared" si="3"/>
        <v>577.11779675458979</v>
      </c>
    </row>
    <row r="21" spans="1:8" x14ac:dyDescent="0.25">
      <c r="A21">
        <f t="shared" si="1"/>
        <v>17</v>
      </c>
      <c r="B21">
        <v>1</v>
      </c>
      <c r="C21" s="5">
        <v>102</v>
      </c>
      <c r="D21" s="1">
        <f t="shared" si="2"/>
        <v>15.66</v>
      </c>
      <c r="E21" s="3">
        <f t="shared" si="0"/>
        <v>1.02</v>
      </c>
      <c r="F21" s="1">
        <v>0.1012</v>
      </c>
      <c r="G21" s="1">
        <v>4.7750000000000004</v>
      </c>
      <c r="H21" s="3">
        <f t="shared" si="3"/>
        <v>581.97919363519554</v>
      </c>
    </row>
    <row r="22" spans="1:8" x14ac:dyDescent="0.25">
      <c r="A22">
        <f t="shared" si="1"/>
        <v>18</v>
      </c>
      <c r="B22">
        <v>1</v>
      </c>
      <c r="C22" s="5">
        <v>102</v>
      </c>
      <c r="D22" s="1">
        <f t="shared" si="2"/>
        <v>16.68</v>
      </c>
      <c r="E22" s="3">
        <f t="shared" si="0"/>
        <v>1.02</v>
      </c>
      <c r="F22" s="1">
        <v>0.10050000000000001</v>
      </c>
      <c r="G22" s="1">
        <v>4.8109999999999999</v>
      </c>
      <c r="H22" s="3">
        <f t="shared" si="3"/>
        <v>594.56363195955362</v>
      </c>
    </row>
    <row r="23" spans="1:8" x14ac:dyDescent="0.25">
      <c r="A23">
        <f t="shared" si="1"/>
        <v>19</v>
      </c>
      <c r="B23">
        <v>1</v>
      </c>
      <c r="C23" s="5">
        <v>96</v>
      </c>
      <c r="D23" s="1">
        <f t="shared" si="2"/>
        <v>17.7</v>
      </c>
      <c r="E23" s="3">
        <f t="shared" si="0"/>
        <v>0.96</v>
      </c>
      <c r="F23" s="1">
        <v>0.1003</v>
      </c>
      <c r="G23" s="1">
        <v>4.5949999999999998</v>
      </c>
      <c r="H23" s="3">
        <f t="shared" si="3"/>
        <v>605.7699083556538</v>
      </c>
    </row>
    <row r="24" spans="1:8" x14ac:dyDescent="0.25">
      <c r="A24">
        <f t="shared" si="1"/>
        <v>20</v>
      </c>
      <c r="B24">
        <v>1</v>
      </c>
      <c r="C24" s="5">
        <v>94</v>
      </c>
      <c r="D24" s="1">
        <f t="shared" si="2"/>
        <v>18.66</v>
      </c>
      <c r="E24" s="3">
        <f t="shared" si="0"/>
        <v>0.94</v>
      </c>
      <c r="F24" s="1">
        <v>0.1003</v>
      </c>
      <c r="G24" s="1">
        <v>4.5380000000000003</v>
      </c>
      <c r="H24" s="3">
        <f t="shared" si="3"/>
        <v>610.98430077865373</v>
      </c>
    </row>
    <row r="25" spans="1:8" x14ac:dyDescent="0.25">
      <c r="A25">
        <f t="shared" si="1"/>
        <v>21</v>
      </c>
      <c r="B25">
        <v>1</v>
      </c>
      <c r="C25" s="5">
        <v>105</v>
      </c>
      <c r="D25" s="1">
        <f t="shared" si="2"/>
        <v>19.600000000000001</v>
      </c>
      <c r="E25" s="3">
        <f t="shared" si="0"/>
        <v>1.05</v>
      </c>
      <c r="F25" s="1">
        <v>0.1002</v>
      </c>
      <c r="G25" s="1">
        <v>5.0149999999999997</v>
      </c>
      <c r="H25" s="3">
        <f t="shared" si="3"/>
        <v>605.67754732972753</v>
      </c>
    </row>
    <row r="26" spans="1:8" x14ac:dyDescent="0.25">
      <c r="A26">
        <f t="shared" si="1"/>
        <v>22</v>
      </c>
      <c r="B26">
        <v>1</v>
      </c>
      <c r="C26" s="5">
        <v>99</v>
      </c>
      <c r="D26" s="1">
        <f t="shared" si="2"/>
        <v>20.650000000000002</v>
      </c>
      <c r="E26" s="3">
        <f t="shared" si="0"/>
        <v>0.99</v>
      </c>
      <c r="F26" s="1">
        <v>0.1002</v>
      </c>
      <c r="G26" s="1">
        <v>4.9139999999999997</v>
      </c>
      <c r="H26" s="3">
        <f t="shared" si="3"/>
        <v>629.4479069774909</v>
      </c>
    </row>
    <row r="27" spans="1:8" x14ac:dyDescent="0.25">
      <c r="A27">
        <f t="shared" si="1"/>
        <v>23</v>
      </c>
      <c r="B27">
        <v>1</v>
      </c>
      <c r="C27" s="5">
        <v>92</v>
      </c>
      <c r="D27" s="1">
        <f t="shared" si="2"/>
        <v>21.64</v>
      </c>
      <c r="E27" s="3">
        <f t="shared" si="0"/>
        <v>0.92</v>
      </c>
      <c r="F27" s="1">
        <v>0.1002</v>
      </c>
      <c r="G27" s="1">
        <v>4.5519999999999996</v>
      </c>
      <c r="H27" s="3">
        <f t="shared" si="3"/>
        <v>627.44297655233561</v>
      </c>
    </row>
    <row r="28" spans="1:8" x14ac:dyDescent="0.25">
      <c r="A28">
        <f t="shared" si="1"/>
        <v>24</v>
      </c>
      <c r="B28">
        <v>1</v>
      </c>
      <c r="C28" s="5">
        <v>94</v>
      </c>
      <c r="D28" s="1">
        <f t="shared" si="2"/>
        <v>22.560000000000002</v>
      </c>
      <c r="E28" s="3">
        <f t="shared" si="0"/>
        <v>0.94</v>
      </c>
      <c r="F28" s="1">
        <v>0.1003</v>
      </c>
      <c r="G28" s="1">
        <v>4.7140000000000004</v>
      </c>
      <c r="H28" s="3">
        <f t="shared" si="3"/>
        <v>634.68047462991933</v>
      </c>
    </row>
    <row r="29" spans="1:8" x14ac:dyDescent="0.25">
      <c r="A29">
        <f t="shared" si="1"/>
        <v>25</v>
      </c>
      <c r="B29">
        <v>1</v>
      </c>
      <c r="C29" s="5">
        <v>92</v>
      </c>
      <c r="D29" s="1">
        <f t="shared" si="2"/>
        <v>23.500000000000004</v>
      </c>
      <c r="E29" s="3">
        <f t="shared" si="0"/>
        <v>0.92</v>
      </c>
      <c r="F29" s="1">
        <v>0.10050000000000001</v>
      </c>
      <c r="G29" s="1">
        <v>4.6470000000000002</v>
      </c>
      <c r="H29" s="3">
        <f t="shared" si="3"/>
        <v>636.71928046920709</v>
      </c>
    </row>
    <row r="30" spans="1:8" x14ac:dyDescent="0.25">
      <c r="A30">
        <f t="shared" si="1"/>
        <v>26</v>
      </c>
      <c r="B30">
        <v>1</v>
      </c>
      <c r="C30" s="5">
        <v>92</v>
      </c>
      <c r="D30" s="1">
        <f t="shared" si="2"/>
        <v>24.420000000000005</v>
      </c>
      <c r="E30" s="3">
        <f t="shared" si="0"/>
        <v>0.92</v>
      </c>
      <c r="F30" s="1">
        <v>0.10050000000000001</v>
      </c>
      <c r="G30" s="1">
        <v>4.6390000000000002</v>
      </c>
      <c r="H30" s="3">
        <f t="shared" si="3"/>
        <v>635.62314226310559</v>
      </c>
    </row>
    <row r="31" spans="1:8" x14ac:dyDescent="0.25">
      <c r="A31">
        <f t="shared" si="1"/>
        <v>27</v>
      </c>
      <c r="B31">
        <v>1</v>
      </c>
      <c r="C31" s="5">
        <v>94</v>
      </c>
      <c r="D31" s="1">
        <f t="shared" si="2"/>
        <v>25.340000000000007</v>
      </c>
      <c r="E31" s="3">
        <f t="shared" si="0"/>
        <v>0.94</v>
      </c>
      <c r="F31" s="1">
        <v>0.1002</v>
      </c>
      <c r="G31" s="1">
        <v>4.806</v>
      </c>
      <c r="H31" s="3">
        <f t="shared" si="3"/>
        <v>648.35930656753249</v>
      </c>
    </row>
    <row r="32" spans="1:8" x14ac:dyDescent="0.25">
      <c r="A32">
        <f t="shared" si="1"/>
        <v>28</v>
      </c>
      <c r="B32">
        <v>1</v>
      </c>
      <c r="C32" s="5">
        <v>94</v>
      </c>
      <c r="D32" s="1">
        <f t="shared" si="2"/>
        <v>26.280000000000008</v>
      </c>
      <c r="E32" s="3">
        <f t="shared" si="0"/>
        <v>0.94</v>
      </c>
      <c r="F32" s="1">
        <v>0.10050000000000001</v>
      </c>
      <c r="G32" s="1">
        <v>4.87</v>
      </c>
      <c r="H32" s="3">
        <f t="shared" si="3"/>
        <v>653.07681098632281</v>
      </c>
    </row>
    <row r="33" spans="1:8" x14ac:dyDescent="0.25">
      <c r="A33">
        <f t="shared" si="1"/>
        <v>29</v>
      </c>
      <c r="B33">
        <v>1</v>
      </c>
      <c r="C33" s="5">
        <v>95</v>
      </c>
      <c r="D33" s="1">
        <f t="shared" si="2"/>
        <v>27.22000000000001</v>
      </c>
      <c r="E33" s="3">
        <f t="shared" si="0"/>
        <v>0.95</v>
      </c>
      <c r="F33" s="1">
        <v>0.10050000000000001</v>
      </c>
      <c r="G33" s="1">
        <v>4.9379999999999997</v>
      </c>
      <c r="H33" s="3">
        <f t="shared" si="3"/>
        <v>655.22526641984962</v>
      </c>
    </row>
    <row r="34" spans="1:8" x14ac:dyDescent="0.25">
      <c r="A34">
        <f t="shared" si="1"/>
        <v>30</v>
      </c>
      <c r="B34">
        <v>1</v>
      </c>
      <c r="C34" s="5">
        <v>95</v>
      </c>
      <c r="D34" s="1">
        <f t="shared" si="2"/>
        <v>28.170000000000009</v>
      </c>
      <c r="E34" s="3">
        <f t="shared" si="0"/>
        <v>0.95</v>
      </c>
      <c r="F34" s="1">
        <v>0.10050000000000001</v>
      </c>
      <c r="G34" s="1">
        <v>4.9509999999999996</v>
      </c>
      <c r="H34" s="3">
        <f t="shared" si="3"/>
        <v>656.95024180734617</v>
      </c>
    </row>
    <row r="35" spans="1:8" x14ac:dyDescent="0.25">
      <c r="A35">
        <f t="shared" si="1"/>
        <v>31</v>
      </c>
      <c r="B35">
        <v>1</v>
      </c>
      <c r="C35" s="5">
        <v>92</v>
      </c>
      <c r="D35" s="1">
        <f t="shared" si="2"/>
        <v>29.120000000000008</v>
      </c>
      <c r="E35" s="3">
        <f t="shared" si="0"/>
        <v>0.92</v>
      </c>
      <c r="F35" s="1">
        <v>0.1011</v>
      </c>
      <c r="G35" s="1">
        <v>4.8650000000000002</v>
      </c>
      <c r="H35" s="3">
        <f t="shared" si="3"/>
        <v>658.70048827633173</v>
      </c>
    </row>
    <row r="36" spans="1:8" x14ac:dyDescent="0.25">
      <c r="A36">
        <f t="shared" si="1"/>
        <v>32</v>
      </c>
      <c r="B36">
        <v>1</v>
      </c>
      <c r="C36" s="5">
        <v>95</v>
      </c>
      <c r="D36" s="1">
        <f t="shared" si="2"/>
        <v>30.04000000000001</v>
      </c>
      <c r="E36" s="3">
        <f t="shared" si="0"/>
        <v>0.95</v>
      </c>
      <c r="F36" s="1">
        <v>0.1009</v>
      </c>
      <c r="G36" s="1">
        <v>5.0069999999999997</v>
      </c>
      <c r="H36" s="3">
        <f t="shared" si="3"/>
        <v>659.12370782658684</v>
      </c>
    </row>
    <row r="37" spans="1:8" x14ac:dyDescent="0.25">
      <c r="A37">
        <f t="shared" si="1"/>
        <v>33</v>
      </c>
      <c r="B37">
        <v>1</v>
      </c>
      <c r="C37" s="5">
        <v>106</v>
      </c>
      <c r="D37" s="1">
        <f t="shared" si="2"/>
        <v>30.990000000000009</v>
      </c>
      <c r="E37" s="3">
        <f t="shared" si="0"/>
        <v>1.06</v>
      </c>
      <c r="F37" s="1">
        <v>0.10070000000000001</v>
      </c>
      <c r="G37" s="1">
        <v>5.6</v>
      </c>
      <c r="H37" s="3">
        <f t="shared" si="3"/>
        <v>663.3129862354125</v>
      </c>
    </row>
    <row r="38" spans="1:8" x14ac:dyDescent="0.25">
      <c r="A38">
        <f t="shared" si="1"/>
        <v>34</v>
      </c>
      <c r="B38">
        <v>1</v>
      </c>
      <c r="C38" s="5">
        <v>94</v>
      </c>
      <c r="D38" s="1">
        <f t="shared" si="2"/>
        <v>32.050000000000011</v>
      </c>
      <c r="E38" s="3">
        <f t="shared" si="0"/>
        <v>0.94</v>
      </c>
      <c r="F38" s="1">
        <v>0.10050000000000001</v>
      </c>
      <c r="G38" s="1">
        <v>5.0570000000000004</v>
      </c>
      <c r="H38" s="3">
        <f t="shared" si="3"/>
        <v>678.15388771208109</v>
      </c>
    </row>
    <row r="39" spans="1:8" x14ac:dyDescent="0.25">
      <c r="A39">
        <f t="shared" si="1"/>
        <v>35</v>
      </c>
      <c r="B39">
        <v>1</v>
      </c>
      <c r="C39" s="5">
        <v>94</v>
      </c>
      <c r="D39" s="1">
        <f t="shared" si="2"/>
        <v>32.990000000000009</v>
      </c>
      <c r="E39" s="3">
        <f t="shared" si="0"/>
        <v>0.94</v>
      </c>
      <c r="F39" s="1">
        <v>0.10050000000000001</v>
      </c>
      <c r="G39" s="1">
        <v>5.1349999999999998</v>
      </c>
      <c r="H39" s="3">
        <f t="shared" si="3"/>
        <v>688.61384484902828</v>
      </c>
    </row>
    <row r="40" spans="1:8" x14ac:dyDescent="0.25">
      <c r="A40">
        <f t="shared" si="1"/>
        <v>36</v>
      </c>
      <c r="B40">
        <v>1</v>
      </c>
      <c r="C40" s="5">
        <v>92</v>
      </c>
      <c r="D40" s="1">
        <f t="shared" si="2"/>
        <v>33.930000000000007</v>
      </c>
      <c r="E40" s="3">
        <f t="shared" si="0"/>
        <v>0.92</v>
      </c>
      <c r="F40" s="1">
        <v>0.10050000000000001</v>
      </c>
      <c r="G40" s="1">
        <v>5.0510000000000002</v>
      </c>
      <c r="H40" s="3">
        <f t="shared" si="3"/>
        <v>692.07425987733268</v>
      </c>
    </row>
    <row r="41" spans="1:8" x14ac:dyDescent="0.25">
      <c r="A41">
        <f t="shared" si="1"/>
        <v>37</v>
      </c>
      <c r="B41">
        <v>1</v>
      </c>
      <c r="C41" s="5">
        <v>93</v>
      </c>
      <c r="D41" s="1">
        <f t="shared" si="2"/>
        <v>34.850000000000009</v>
      </c>
      <c r="E41" s="3">
        <f t="shared" si="0"/>
        <v>0.93</v>
      </c>
      <c r="F41" s="1">
        <v>0.10099999999999999</v>
      </c>
      <c r="G41" s="1">
        <v>5.0919999999999996</v>
      </c>
      <c r="H41" s="3">
        <f t="shared" si="3"/>
        <v>683.37325536445621</v>
      </c>
    </row>
    <row r="42" spans="1:8" x14ac:dyDescent="0.25">
      <c r="A42">
        <f t="shared" si="1"/>
        <v>38</v>
      </c>
      <c r="B42">
        <v>1</v>
      </c>
      <c r="C42" s="5">
        <v>104</v>
      </c>
      <c r="D42" s="1">
        <f t="shared" si="2"/>
        <v>35.780000000000008</v>
      </c>
      <c r="E42" s="3">
        <f t="shared" si="0"/>
        <v>1.04</v>
      </c>
      <c r="F42" s="1">
        <v>0.10099999999999999</v>
      </c>
      <c r="G42" s="1">
        <v>5.7210000000000001</v>
      </c>
      <c r="H42" s="3">
        <f t="shared" si="3"/>
        <v>686.5799871525943</v>
      </c>
    </row>
    <row r="43" spans="1:8" x14ac:dyDescent="0.25">
      <c r="A43">
        <f t="shared" si="1"/>
        <v>39</v>
      </c>
      <c r="B43" s="5">
        <v>2</v>
      </c>
      <c r="C43" s="5">
        <v>101</v>
      </c>
      <c r="D43" s="1">
        <f t="shared" si="2"/>
        <v>36.820000000000007</v>
      </c>
      <c r="E43" s="3">
        <f t="shared" si="0"/>
        <v>1.01</v>
      </c>
      <c r="F43" s="1">
        <v>0.10099999999999999</v>
      </c>
      <c r="G43" s="1">
        <v>5.6559999999999997</v>
      </c>
      <c r="H43" s="3">
        <f t="shared" si="3"/>
        <v>698.94106715202054</v>
      </c>
    </row>
    <row r="44" spans="1:8" x14ac:dyDescent="0.25">
      <c r="A44">
        <f t="shared" si="1"/>
        <v>40</v>
      </c>
      <c r="B44" s="5">
        <v>2</v>
      </c>
      <c r="C44" s="5">
        <v>95</v>
      </c>
      <c r="D44" s="1">
        <f t="shared" si="2"/>
        <v>37.830000000000005</v>
      </c>
      <c r="E44" s="3">
        <f t="shared" si="0"/>
        <v>0.95</v>
      </c>
      <c r="F44" s="1">
        <v>0.10099999999999999</v>
      </c>
      <c r="G44" s="1">
        <v>5.3049999999999997</v>
      </c>
      <c r="H44" s="3">
        <f t="shared" si="3"/>
        <v>696.97036865441146</v>
      </c>
    </row>
    <row r="45" spans="1:8" x14ac:dyDescent="0.25">
      <c r="A45">
        <f t="shared" si="1"/>
        <v>41</v>
      </c>
      <c r="B45" s="5">
        <v>2</v>
      </c>
      <c r="C45" s="5">
        <v>95</v>
      </c>
      <c r="D45" s="1">
        <f t="shared" si="2"/>
        <v>38.780000000000008</v>
      </c>
      <c r="E45" s="3">
        <f t="shared" si="0"/>
        <v>0.95</v>
      </c>
      <c r="F45" s="1">
        <v>0.10099999999999999</v>
      </c>
      <c r="G45" s="1">
        <v>5.3259999999999996</v>
      </c>
      <c r="H45" s="3">
        <f t="shared" si="3"/>
        <v>699.72934655106417</v>
      </c>
    </row>
    <row r="46" spans="1:8" x14ac:dyDescent="0.25">
      <c r="A46">
        <f t="shared" si="1"/>
        <v>42</v>
      </c>
      <c r="B46" s="5">
        <v>1</v>
      </c>
      <c r="C46" s="5">
        <v>95</v>
      </c>
      <c r="D46" s="1">
        <f t="shared" si="2"/>
        <v>39.730000000000011</v>
      </c>
      <c r="E46" s="3">
        <f t="shared" si="0"/>
        <v>0.95</v>
      </c>
      <c r="F46" s="1">
        <v>0.10099999999999999</v>
      </c>
      <c r="G46" s="1">
        <v>5.36</v>
      </c>
      <c r="H46" s="3">
        <f t="shared" si="3"/>
        <v>704.19626314564482</v>
      </c>
    </row>
    <row r="47" spans="1:8" x14ac:dyDescent="0.25">
      <c r="A47">
        <f t="shared" si="1"/>
        <v>43</v>
      </c>
      <c r="B47" s="5">
        <v>1</v>
      </c>
      <c r="C47" s="5">
        <v>86</v>
      </c>
      <c r="D47" s="1">
        <f t="shared" si="2"/>
        <v>40.680000000000014</v>
      </c>
      <c r="E47" s="3">
        <f t="shared" si="0"/>
        <v>0.86</v>
      </c>
      <c r="F47" s="1">
        <v>0.10099999999999999</v>
      </c>
      <c r="G47" s="1">
        <v>4.9169999999999998</v>
      </c>
      <c r="H47" s="3">
        <f t="shared" si="3"/>
        <v>713.59909202377185</v>
      </c>
    </row>
    <row r="48" spans="1:8" x14ac:dyDescent="0.25">
      <c r="A48">
        <f t="shared" si="1"/>
        <v>44</v>
      </c>
      <c r="B48" s="5">
        <v>1</v>
      </c>
      <c r="C48" s="5">
        <v>110</v>
      </c>
      <c r="D48" s="1">
        <f t="shared" si="2"/>
        <v>41.540000000000013</v>
      </c>
      <c r="E48" s="3">
        <f t="shared" si="0"/>
        <v>1.1000000000000001</v>
      </c>
      <c r="F48" s="1">
        <v>0.10099999999999999</v>
      </c>
      <c r="G48" s="1">
        <v>6.2539999999999996</v>
      </c>
      <c r="H48" s="3">
        <f t="shared" si="3"/>
        <v>709.60672629362591</v>
      </c>
    </row>
    <row r="49" spans="1:8" x14ac:dyDescent="0.25">
      <c r="A49">
        <f t="shared" si="1"/>
        <v>45</v>
      </c>
      <c r="B49" s="5">
        <v>1</v>
      </c>
      <c r="C49" s="5">
        <v>94</v>
      </c>
      <c r="D49" s="1">
        <f t="shared" si="2"/>
        <v>42.640000000000015</v>
      </c>
      <c r="E49" s="3">
        <f t="shared" si="0"/>
        <v>0.94</v>
      </c>
      <c r="F49" s="1">
        <v>0.10099999999999999</v>
      </c>
      <c r="G49" s="1">
        <v>5.3810000000000002</v>
      </c>
      <c r="H49" s="3">
        <f t="shared" si="3"/>
        <v>714.47604147891786</v>
      </c>
    </row>
    <row r="50" spans="1:8" x14ac:dyDescent="0.25">
      <c r="A50">
        <f t="shared" si="1"/>
        <v>46</v>
      </c>
      <c r="B50" s="5">
        <v>1</v>
      </c>
      <c r="C50" s="5">
        <v>97</v>
      </c>
      <c r="D50" s="1">
        <f t="shared" si="2"/>
        <v>43.580000000000013</v>
      </c>
      <c r="E50" s="3">
        <f t="shared" si="0"/>
        <v>0.97</v>
      </c>
      <c r="F50" s="1">
        <v>0.10099999999999999</v>
      </c>
      <c r="G50" s="1">
        <v>5.673</v>
      </c>
      <c r="H50" s="3">
        <f t="shared" si="3"/>
        <v>729.95078681027485</v>
      </c>
    </row>
    <row r="51" spans="1:8" x14ac:dyDescent="0.25">
      <c r="A51">
        <f t="shared" si="1"/>
        <v>47</v>
      </c>
      <c r="B51" s="5">
        <v>1</v>
      </c>
      <c r="C51" s="5">
        <v>95</v>
      </c>
      <c r="D51" s="1">
        <f t="shared" si="2"/>
        <v>44.550000000000011</v>
      </c>
      <c r="E51" s="3">
        <f t="shared" si="0"/>
        <v>0.95</v>
      </c>
      <c r="F51" s="1">
        <v>0.10099999999999999</v>
      </c>
      <c r="G51" s="1">
        <v>5.55</v>
      </c>
      <c r="H51" s="3">
        <f t="shared" si="3"/>
        <v>729.15844411535977</v>
      </c>
    </row>
    <row r="52" spans="1:8" x14ac:dyDescent="0.25">
      <c r="A52">
        <f t="shared" si="1"/>
        <v>48</v>
      </c>
      <c r="B52" s="5">
        <v>1</v>
      </c>
      <c r="C52" s="5">
        <v>79</v>
      </c>
      <c r="D52" s="1">
        <f t="shared" si="2"/>
        <v>45.500000000000014</v>
      </c>
      <c r="E52" s="3">
        <f t="shared" si="0"/>
        <v>0.79</v>
      </c>
      <c r="F52" s="1">
        <v>0.10099999999999999</v>
      </c>
      <c r="G52" s="1">
        <v>4.657</v>
      </c>
      <c r="H52" s="3">
        <f t="shared" si="3"/>
        <v>735.75238465799259</v>
      </c>
    </row>
    <row r="53" spans="1:8" x14ac:dyDescent="0.25">
      <c r="A53">
        <f t="shared" si="1"/>
        <v>49</v>
      </c>
      <c r="B53" s="5">
        <v>1</v>
      </c>
      <c r="C53" s="5">
        <v>102</v>
      </c>
      <c r="D53" s="1">
        <f t="shared" si="2"/>
        <v>46.290000000000013</v>
      </c>
      <c r="E53" s="3">
        <f t="shared" si="0"/>
        <v>1.02</v>
      </c>
      <c r="F53" s="1">
        <v>0.10099999999999999</v>
      </c>
      <c r="G53" s="1">
        <v>6.0389999999999997</v>
      </c>
      <c r="H53" s="3">
        <f t="shared" si="3"/>
        <v>738.95397488288711</v>
      </c>
    </row>
    <row r="54" spans="1:8" x14ac:dyDescent="0.25">
      <c r="A54">
        <f t="shared" si="1"/>
        <v>50</v>
      </c>
      <c r="B54" s="5">
        <v>2</v>
      </c>
      <c r="C54" s="5">
        <v>106</v>
      </c>
      <c r="D54" s="1">
        <f t="shared" si="2"/>
        <v>47.310000000000016</v>
      </c>
      <c r="E54" s="3">
        <f t="shared" si="0"/>
        <v>1.06</v>
      </c>
      <c r="F54" s="1">
        <v>0.10099999999999999</v>
      </c>
      <c r="G54" s="1">
        <v>6.2610000000000001</v>
      </c>
      <c r="H54" s="3">
        <f t="shared" si="3"/>
        <v>737.20856156314017</v>
      </c>
    </row>
    <row r="55" spans="1:8" x14ac:dyDescent="0.25">
      <c r="A55">
        <f t="shared" si="1"/>
        <v>51</v>
      </c>
      <c r="B55" s="5">
        <v>2</v>
      </c>
      <c r="C55" s="5">
        <v>104</v>
      </c>
      <c r="D55" s="1">
        <f t="shared" si="2"/>
        <v>48.370000000000019</v>
      </c>
      <c r="E55" s="3">
        <f t="shared" si="0"/>
        <v>1.04</v>
      </c>
      <c r="F55" s="1">
        <v>0.10099999999999999</v>
      </c>
      <c r="G55" s="1">
        <v>6.1280000000000001</v>
      </c>
      <c r="H55" s="3">
        <f t="shared" si="3"/>
        <v>735.42425472314244</v>
      </c>
    </row>
    <row r="56" spans="1:8" x14ac:dyDescent="0.25">
      <c r="A56">
        <f t="shared" si="1"/>
        <v>52</v>
      </c>
      <c r="B56" s="5">
        <v>3</v>
      </c>
      <c r="C56" s="5">
        <v>88</v>
      </c>
      <c r="D56" s="1">
        <f t="shared" si="2"/>
        <v>49.410000000000018</v>
      </c>
      <c r="E56" s="3">
        <f t="shared" si="0"/>
        <v>0.88</v>
      </c>
      <c r="F56" s="1">
        <v>0.10099999999999999</v>
      </c>
      <c r="G56" s="1">
        <v>5.2679999999999998</v>
      </c>
      <c r="H56" s="3">
        <f t="shared" si="3"/>
        <v>747.16346220715184</v>
      </c>
    </row>
    <row r="57" spans="1:8" x14ac:dyDescent="0.25">
      <c r="A57">
        <f t="shared" si="1"/>
        <v>53</v>
      </c>
      <c r="B57" s="5">
        <v>2</v>
      </c>
      <c r="C57" s="5">
        <v>103</v>
      </c>
      <c r="D57" s="1">
        <f t="shared" si="2"/>
        <v>50.29000000000002</v>
      </c>
      <c r="E57" s="3">
        <f t="shared" si="0"/>
        <v>1.03</v>
      </c>
      <c r="F57" s="1">
        <v>0.1009</v>
      </c>
      <c r="G57" s="1">
        <v>6.1589999999999998</v>
      </c>
      <c r="H57" s="3">
        <f t="shared" si="3"/>
        <v>747.80080134001741</v>
      </c>
    </row>
    <row r="58" spans="1:8" x14ac:dyDescent="0.25">
      <c r="A58">
        <f t="shared" si="1"/>
        <v>54</v>
      </c>
      <c r="B58" s="5">
        <v>1</v>
      </c>
      <c r="C58" s="5">
        <v>98</v>
      </c>
      <c r="D58" s="1">
        <f t="shared" si="2"/>
        <v>51.320000000000022</v>
      </c>
      <c r="E58" s="3">
        <f t="shared" si="0"/>
        <v>0.98</v>
      </c>
      <c r="F58" s="1">
        <v>0.10099999999999999</v>
      </c>
      <c r="G58" s="1">
        <v>5.91</v>
      </c>
      <c r="H58" s="3">
        <f t="shared" si="3"/>
        <v>752.68617107661112</v>
      </c>
    </row>
    <row r="59" spans="1:8" x14ac:dyDescent="0.25">
      <c r="A59">
        <f t="shared" si="1"/>
        <v>55</v>
      </c>
      <c r="B59" s="5">
        <v>1</v>
      </c>
      <c r="C59" s="5">
        <v>97</v>
      </c>
      <c r="D59" s="1">
        <f t="shared" si="2"/>
        <v>52.300000000000018</v>
      </c>
      <c r="E59" s="3">
        <f t="shared" si="0"/>
        <v>0.97</v>
      </c>
      <c r="F59" s="1">
        <v>0.10099999999999999</v>
      </c>
      <c r="G59" s="1">
        <v>5.8890000000000002</v>
      </c>
      <c r="H59" s="3">
        <f t="shared" si="3"/>
        <v>757.74373057036996</v>
      </c>
    </row>
    <row r="60" spans="1:8" x14ac:dyDescent="0.25">
      <c r="A60">
        <f t="shared" si="1"/>
        <v>56</v>
      </c>
      <c r="B60" s="5">
        <v>1</v>
      </c>
      <c r="C60" s="5">
        <v>102</v>
      </c>
      <c r="D60" s="1">
        <f t="shared" si="2"/>
        <v>53.270000000000017</v>
      </c>
      <c r="E60" s="3">
        <f t="shared" si="0"/>
        <v>1.02</v>
      </c>
      <c r="F60" s="1">
        <v>0.10099999999999999</v>
      </c>
      <c r="G60" s="1">
        <v>6.2329999999999997</v>
      </c>
      <c r="H60" s="3">
        <f t="shared" si="3"/>
        <v>762.69251953055732</v>
      </c>
    </row>
    <row r="61" spans="1:8" x14ac:dyDescent="0.25">
      <c r="A61">
        <f t="shared" si="1"/>
        <v>57</v>
      </c>
      <c r="B61" s="5">
        <v>2</v>
      </c>
      <c r="C61" s="5">
        <v>94</v>
      </c>
      <c r="D61" s="1">
        <f t="shared" si="2"/>
        <v>54.29000000000002</v>
      </c>
      <c r="E61" s="3">
        <f t="shared" si="0"/>
        <v>0.94</v>
      </c>
      <c r="F61" s="1">
        <v>0.10099999999999999</v>
      </c>
      <c r="G61" s="1">
        <v>5.8070000000000004</v>
      </c>
      <c r="H61" s="3">
        <f t="shared" si="3"/>
        <v>771.03928133582531</v>
      </c>
    </row>
    <row r="62" spans="1:8" x14ac:dyDescent="0.25">
      <c r="A62">
        <f t="shared" si="1"/>
        <v>58</v>
      </c>
      <c r="B62" s="5">
        <v>2</v>
      </c>
      <c r="C62" s="5">
        <v>91</v>
      </c>
      <c r="D62" s="1">
        <f t="shared" si="2"/>
        <v>55.230000000000018</v>
      </c>
      <c r="E62" s="3">
        <f t="shared" si="0"/>
        <v>0.91</v>
      </c>
      <c r="F62" s="1">
        <v>0.10099999999999999</v>
      </c>
      <c r="G62" s="1">
        <v>5.5860000000000003</v>
      </c>
      <c r="H62" s="3">
        <f t="shared" si="3"/>
        <v>766.14693899356098</v>
      </c>
    </row>
    <row r="63" spans="1:8" x14ac:dyDescent="0.25">
      <c r="A63">
        <f t="shared" si="1"/>
        <v>59</v>
      </c>
      <c r="B63" s="5">
        <v>2</v>
      </c>
      <c r="C63" s="5">
        <v>95</v>
      </c>
      <c r="D63" s="1">
        <f t="shared" si="2"/>
        <v>56.140000000000015</v>
      </c>
      <c r="E63" s="3">
        <f t="shared" si="0"/>
        <v>0.95</v>
      </c>
      <c r="F63" s="1">
        <v>0.10099999999999999</v>
      </c>
      <c r="G63" s="1">
        <v>6.0010000000000003</v>
      </c>
      <c r="H63" s="3">
        <f t="shared" si="3"/>
        <v>788.41077894347291</v>
      </c>
    </row>
    <row r="64" spans="1:8" x14ac:dyDescent="0.25">
      <c r="A64">
        <f t="shared" si="1"/>
        <v>60</v>
      </c>
      <c r="B64" s="5">
        <v>1</v>
      </c>
      <c r="C64" s="5">
        <v>105</v>
      </c>
      <c r="D64" s="1">
        <f t="shared" si="2"/>
        <v>57.090000000000018</v>
      </c>
      <c r="E64" s="3">
        <f t="shared" si="0"/>
        <v>1.05</v>
      </c>
      <c r="F64" s="1">
        <v>0.10050000000000001</v>
      </c>
      <c r="G64" s="1">
        <v>6.57</v>
      </c>
      <c r="H64" s="3">
        <f t="shared" si="3"/>
        <v>788.74973487617717</v>
      </c>
    </row>
    <row r="65" spans="1:8" x14ac:dyDescent="0.25">
      <c r="A65">
        <f t="shared" si="1"/>
        <v>61</v>
      </c>
      <c r="B65" s="5" t="s">
        <v>12</v>
      </c>
      <c r="C65" s="5">
        <v>90</v>
      </c>
      <c r="D65" s="1">
        <f t="shared" si="2"/>
        <v>58.140000000000015</v>
      </c>
      <c r="E65" s="3">
        <f t="shared" si="0"/>
        <v>0.9</v>
      </c>
      <c r="F65" s="1">
        <v>0.10050000000000001</v>
      </c>
      <c r="G65" s="1">
        <v>5.6340000000000003</v>
      </c>
      <c r="H65" s="3">
        <f t="shared" si="3"/>
        <v>789.10989457246774</v>
      </c>
    </row>
    <row r="66" spans="1:8" x14ac:dyDescent="0.25">
      <c r="A66">
        <f t="shared" si="1"/>
        <v>62</v>
      </c>
      <c r="B66" s="5">
        <v>1</v>
      </c>
      <c r="C66" s="5">
        <v>73</v>
      </c>
      <c r="D66" s="1">
        <f t="shared" si="2"/>
        <v>59.040000000000013</v>
      </c>
      <c r="E66" s="3">
        <f t="shared" si="0"/>
        <v>0.73</v>
      </c>
      <c r="F66" s="1">
        <v>0.10050000000000001</v>
      </c>
      <c r="G66" s="1">
        <v>4.5819999999999999</v>
      </c>
      <c r="H66" s="3">
        <f t="shared" si="3"/>
        <v>791.21658211104352</v>
      </c>
    </row>
    <row r="67" spans="1:8" x14ac:dyDescent="0.25">
      <c r="A67">
        <f t="shared" si="1"/>
        <v>63</v>
      </c>
      <c r="B67" s="5">
        <v>2</v>
      </c>
      <c r="C67" s="5">
        <v>101</v>
      </c>
      <c r="D67" s="1">
        <f t="shared" si="2"/>
        <v>59.77000000000001</v>
      </c>
      <c r="E67" s="3">
        <f t="shared" si="0"/>
        <v>1.01</v>
      </c>
      <c r="F67" s="1">
        <v>0.10050000000000001</v>
      </c>
      <c r="G67" s="1">
        <v>6.335</v>
      </c>
      <c r="H67" s="3">
        <f t="shared" si="3"/>
        <v>790.65751148524066</v>
      </c>
    </row>
    <row r="68" spans="1:8" x14ac:dyDescent="0.25">
      <c r="A68">
        <f t="shared" si="1"/>
        <v>64</v>
      </c>
      <c r="B68" s="5">
        <v>2</v>
      </c>
      <c r="C68" s="5">
        <v>104</v>
      </c>
      <c r="D68" s="1">
        <f t="shared" si="2"/>
        <v>60.780000000000008</v>
      </c>
      <c r="E68" s="3">
        <f t="shared" si="0"/>
        <v>1.04</v>
      </c>
      <c r="F68" s="1">
        <v>0.10050000000000001</v>
      </c>
      <c r="G68" s="1">
        <v>6.7220000000000004</v>
      </c>
      <c r="H68" s="3">
        <f t="shared" si="3"/>
        <v>814.75742063715415</v>
      </c>
    </row>
    <row r="69" spans="1:8" x14ac:dyDescent="0.25">
      <c r="A69">
        <f t="shared" si="1"/>
        <v>65</v>
      </c>
      <c r="B69" s="5">
        <v>2</v>
      </c>
      <c r="C69" s="5">
        <v>104</v>
      </c>
      <c r="D69" s="1">
        <f t="shared" si="2"/>
        <v>61.820000000000007</v>
      </c>
      <c r="E69" s="3">
        <f t="shared" si="0"/>
        <v>1.04</v>
      </c>
      <c r="F69" s="1">
        <v>0.10050000000000001</v>
      </c>
      <c r="G69" s="1">
        <v>6.6349999999999998</v>
      </c>
      <c r="H69" s="3">
        <f t="shared" si="3"/>
        <v>804.21236029864883</v>
      </c>
    </row>
    <row r="70" spans="1:8" x14ac:dyDescent="0.25">
      <c r="A70">
        <f t="shared" si="1"/>
        <v>66</v>
      </c>
      <c r="B70" s="5">
        <v>2</v>
      </c>
      <c r="C70" s="5">
        <v>105</v>
      </c>
      <c r="D70" s="1">
        <f t="shared" si="2"/>
        <v>62.860000000000007</v>
      </c>
      <c r="E70" s="3">
        <f t="shared" ref="E70:E104" si="4">+C70/100</f>
        <v>1.05</v>
      </c>
      <c r="F70" s="1">
        <v>0.10050000000000001</v>
      </c>
      <c r="G70" s="1">
        <v>6.7</v>
      </c>
      <c r="H70" s="3">
        <f t="shared" si="3"/>
        <v>804.35665504876511</v>
      </c>
    </row>
    <row r="71" spans="1:8" x14ac:dyDescent="0.25">
      <c r="A71">
        <f t="shared" ref="A71:A104" si="5">+A70+1</f>
        <v>67</v>
      </c>
      <c r="B71" s="5">
        <v>3</v>
      </c>
      <c r="C71" s="5">
        <v>104</v>
      </c>
      <c r="D71" s="1">
        <f t="shared" ref="D71:D104" si="6">+D70+(C70/100)</f>
        <v>63.910000000000004</v>
      </c>
      <c r="E71" s="3">
        <f t="shared" si="4"/>
        <v>1.04</v>
      </c>
      <c r="F71" s="1">
        <v>0.10050000000000001</v>
      </c>
      <c r="G71" s="1">
        <v>6.6539999999999999</v>
      </c>
      <c r="H71" s="3">
        <f t="shared" ref="H71:H104" si="7">((G71)/((E71*(F71/2)^2)*3.1417))</f>
        <v>806.51530451050633</v>
      </c>
    </row>
    <row r="72" spans="1:8" x14ac:dyDescent="0.25">
      <c r="A72">
        <f t="shared" si="5"/>
        <v>68</v>
      </c>
      <c r="B72" s="5">
        <v>4</v>
      </c>
      <c r="C72" s="5">
        <v>105</v>
      </c>
      <c r="D72" s="1">
        <f t="shared" si="6"/>
        <v>64.95</v>
      </c>
      <c r="E72" s="3">
        <f t="shared" si="4"/>
        <v>1.05</v>
      </c>
      <c r="F72" s="1">
        <v>0.10050000000000001</v>
      </c>
      <c r="G72" s="1">
        <v>7.4429999999999996</v>
      </c>
      <c r="H72" s="3">
        <f t="shared" si="7"/>
        <v>893.55620649671027</v>
      </c>
    </row>
    <row r="73" spans="1:8" x14ac:dyDescent="0.25">
      <c r="A73">
        <f t="shared" si="5"/>
        <v>69</v>
      </c>
      <c r="B73" s="5">
        <v>3</v>
      </c>
      <c r="C73" s="5">
        <v>100</v>
      </c>
      <c r="D73" s="1">
        <f t="shared" si="6"/>
        <v>66</v>
      </c>
      <c r="E73" s="3">
        <f t="shared" si="4"/>
        <v>1</v>
      </c>
      <c r="F73" s="1">
        <v>0.10050000000000001</v>
      </c>
      <c r="G73" s="1">
        <v>7.2619999999999996</v>
      </c>
      <c r="H73" s="3">
        <f t="shared" si="7"/>
        <v>915.41790006154315</v>
      </c>
    </row>
    <row r="74" spans="1:8" x14ac:dyDescent="0.25">
      <c r="A74">
        <f t="shared" si="5"/>
        <v>70</v>
      </c>
      <c r="B74" s="5">
        <v>2</v>
      </c>
      <c r="C74" s="5">
        <v>105</v>
      </c>
      <c r="D74" s="1">
        <f t="shared" si="6"/>
        <v>67</v>
      </c>
      <c r="E74" s="3">
        <f t="shared" si="4"/>
        <v>1.05</v>
      </c>
      <c r="F74" s="1">
        <v>0.10050000000000001</v>
      </c>
      <c r="G74" s="1">
        <v>7.6660000000000004</v>
      </c>
      <c r="H74" s="3">
        <f t="shared" si="7"/>
        <v>920.32807725430359</v>
      </c>
    </row>
    <row r="75" spans="1:8" x14ac:dyDescent="0.25">
      <c r="A75">
        <f t="shared" si="5"/>
        <v>71</v>
      </c>
      <c r="B75" s="5" t="s">
        <v>14</v>
      </c>
      <c r="C75" s="5">
        <v>91</v>
      </c>
      <c r="D75" s="1">
        <f t="shared" si="6"/>
        <v>68.05</v>
      </c>
      <c r="E75" s="3">
        <f t="shared" si="4"/>
        <v>0.91</v>
      </c>
      <c r="F75" s="1">
        <v>0.10050000000000001</v>
      </c>
      <c r="G75" s="1">
        <v>6.6349999999999998</v>
      </c>
      <c r="H75" s="3">
        <f t="shared" si="7"/>
        <v>919.09984034131287</v>
      </c>
    </row>
    <row r="76" spans="1:8" x14ac:dyDescent="0.25">
      <c r="A76">
        <f t="shared" si="5"/>
        <v>72</v>
      </c>
      <c r="B76" s="5">
        <v>5</v>
      </c>
      <c r="C76" s="5">
        <v>91</v>
      </c>
      <c r="D76" s="1">
        <f t="shared" si="6"/>
        <v>68.959999999999994</v>
      </c>
      <c r="E76" s="3">
        <f t="shared" si="4"/>
        <v>0.91</v>
      </c>
      <c r="F76" s="1">
        <v>0.10050000000000001</v>
      </c>
      <c r="G76" s="1">
        <v>5.6609999999999996</v>
      </c>
      <c r="H76" s="3">
        <f t="shared" si="7"/>
        <v>784.17847719249016</v>
      </c>
    </row>
    <row r="77" spans="1:8" x14ac:dyDescent="0.25">
      <c r="A77">
        <f t="shared" si="5"/>
        <v>73</v>
      </c>
      <c r="B77" s="5">
        <v>2</v>
      </c>
      <c r="C77" s="5">
        <v>110</v>
      </c>
      <c r="D77" s="1">
        <f t="shared" si="6"/>
        <v>69.86999999999999</v>
      </c>
      <c r="E77" s="3">
        <f t="shared" si="4"/>
        <v>1.1000000000000001</v>
      </c>
      <c r="F77" s="1">
        <v>0.1008</v>
      </c>
      <c r="G77" s="1">
        <v>7.3019999999999996</v>
      </c>
      <c r="H77" s="3">
        <f t="shared" si="7"/>
        <v>831.80850872591918</v>
      </c>
    </row>
    <row r="78" spans="1:8" x14ac:dyDescent="0.25">
      <c r="A78">
        <f t="shared" si="5"/>
        <v>74</v>
      </c>
      <c r="B78" s="5">
        <v>3</v>
      </c>
      <c r="C78" s="5">
        <v>105</v>
      </c>
      <c r="D78" s="1">
        <f t="shared" si="6"/>
        <v>70.969999999999985</v>
      </c>
      <c r="E78" s="3">
        <f t="shared" si="4"/>
        <v>1.05</v>
      </c>
      <c r="F78" s="1">
        <v>0.1008</v>
      </c>
      <c r="G78" s="1">
        <v>6.8019999999999996</v>
      </c>
      <c r="H78" s="3">
        <f t="shared" si="7"/>
        <v>811.74859125211242</v>
      </c>
    </row>
    <row r="79" spans="1:8" x14ac:dyDescent="0.25">
      <c r="A79">
        <f t="shared" si="5"/>
        <v>75</v>
      </c>
      <c r="B79" s="5">
        <v>4</v>
      </c>
      <c r="C79" s="5">
        <v>109</v>
      </c>
      <c r="D79" s="1">
        <f t="shared" si="6"/>
        <v>72.019999999999982</v>
      </c>
      <c r="E79" s="3">
        <v>1.0900000000000001</v>
      </c>
      <c r="F79" s="1">
        <v>0.1008</v>
      </c>
      <c r="G79" s="1">
        <v>7.1479999999999997</v>
      </c>
      <c r="H79" s="3">
        <f t="shared" si="7"/>
        <v>821.73590023220424</v>
      </c>
    </row>
    <row r="80" spans="1:8" x14ac:dyDescent="0.25">
      <c r="A80">
        <f t="shared" si="5"/>
        <v>76</v>
      </c>
      <c r="B80" s="5">
        <v>3</v>
      </c>
      <c r="C80" s="5">
        <v>105</v>
      </c>
      <c r="D80" s="1">
        <f t="shared" si="6"/>
        <v>73.109999999999985</v>
      </c>
      <c r="E80" s="3">
        <f t="shared" si="4"/>
        <v>1.05</v>
      </c>
      <c r="F80" s="1">
        <v>0.1003</v>
      </c>
      <c r="G80" s="1">
        <v>6.7080000000000002</v>
      </c>
      <c r="H80" s="3">
        <f t="shared" si="7"/>
        <v>808.53191635623318</v>
      </c>
    </row>
    <row r="81" spans="1:8" x14ac:dyDescent="0.25">
      <c r="A81">
        <f t="shared" si="5"/>
        <v>77</v>
      </c>
      <c r="B81" s="5">
        <v>3</v>
      </c>
      <c r="C81" s="5">
        <v>97</v>
      </c>
      <c r="D81" s="1">
        <f t="shared" si="6"/>
        <v>74.159999999999982</v>
      </c>
      <c r="E81" s="3">
        <f t="shared" si="4"/>
        <v>0.97</v>
      </c>
      <c r="F81" s="1">
        <v>0.1003</v>
      </c>
      <c r="G81" s="1">
        <v>6.3810000000000002</v>
      </c>
      <c r="H81" s="3">
        <f t="shared" si="7"/>
        <v>832.55018875486144</v>
      </c>
    </row>
    <row r="82" spans="1:8" x14ac:dyDescent="0.25">
      <c r="A82">
        <f t="shared" si="5"/>
        <v>78</v>
      </c>
      <c r="B82" s="5" t="s">
        <v>11</v>
      </c>
      <c r="C82" s="5">
        <v>105</v>
      </c>
      <c r="D82" s="1">
        <f t="shared" si="6"/>
        <v>75.129999999999981</v>
      </c>
      <c r="E82" s="3">
        <f t="shared" si="4"/>
        <v>1.05</v>
      </c>
      <c r="F82" s="1">
        <v>0.1003</v>
      </c>
      <c r="G82" s="1">
        <v>6.92</v>
      </c>
      <c r="H82" s="3">
        <f t="shared" si="7"/>
        <v>834.08480339671041</v>
      </c>
    </row>
    <row r="83" spans="1:8" x14ac:dyDescent="0.25">
      <c r="A83">
        <f t="shared" si="5"/>
        <v>79</v>
      </c>
      <c r="B83" s="5">
        <v>3</v>
      </c>
      <c r="C83" s="5">
        <v>105</v>
      </c>
      <c r="D83" s="1">
        <f t="shared" si="6"/>
        <v>76.179999999999978</v>
      </c>
      <c r="E83" s="3">
        <f t="shared" si="4"/>
        <v>1.05</v>
      </c>
      <c r="F83" s="1">
        <v>0.10099999999999999</v>
      </c>
      <c r="G83" s="1">
        <v>6.9889999999999999</v>
      </c>
      <c r="H83" s="3">
        <f t="shared" si="7"/>
        <v>830.76515617780126</v>
      </c>
    </row>
    <row r="84" spans="1:8" x14ac:dyDescent="0.25">
      <c r="A84">
        <f t="shared" si="5"/>
        <v>80</v>
      </c>
      <c r="B84" s="5">
        <v>2</v>
      </c>
      <c r="C84" s="5">
        <v>94</v>
      </c>
      <c r="D84" s="1">
        <f t="shared" si="6"/>
        <v>77.229999999999976</v>
      </c>
      <c r="E84" s="3">
        <f t="shared" si="4"/>
        <v>0.94</v>
      </c>
      <c r="F84" s="1">
        <v>0.10099999999999999</v>
      </c>
      <c r="G84" s="1">
        <v>6.3090000000000002</v>
      </c>
      <c r="H84" s="3">
        <f t="shared" si="7"/>
        <v>837.69361562729841</v>
      </c>
    </row>
    <row r="85" spans="1:8" x14ac:dyDescent="0.25">
      <c r="A85">
        <f t="shared" si="5"/>
        <v>81</v>
      </c>
      <c r="B85" s="5">
        <v>2</v>
      </c>
      <c r="C85" s="5">
        <v>111</v>
      </c>
      <c r="D85" s="1">
        <f t="shared" si="6"/>
        <v>78.169999999999973</v>
      </c>
      <c r="E85" s="3">
        <f t="shared" si="4"/>
        <v>1.1100000000000001</v>
      </c>
      <c r="F85" s="1">
        <v>0.10099999999999999</v>
      </c>
      <c r="G85" s="1">
        <v>7.4930000000000003</v>
      </c>
      <c r="H85" s="3">
        <f t="shared" si="7"/>
        <v>842.52982885619201</v>
      </c>
    </row>
    <row r="86" spans="1:8" x14ac:dyDescent="0.25">
      <c r="A86">
        <f t="shared" si="5"/>
        <v>82</v>
      </c>
      <c r="B86" s="5">
        <v>2</v>
      </c>
      <c r="C86" s="5">
        <v>109</v>
      </c>
      <c r="D86" s="1">
        <f t="shared" si="6"/>
        <v>79.279999999999973</v>
      </c>
      <c r="E86" s="3">
        <f t="shared" si="4"/>
        <v>1.0900000000000001</v>
      </c>
      <c r="F86" s="1">
        <v>0.10099999999999999</v>
      </c>
      <c r="G86" s="1">
        <v>7.2039999999999997</v>
      </c>
      <c r="H86" s="3">
        <f t="shared" si="7"/>
        <v>824.89702617351827</v>
      </c>
    </row>
    <row r="87" spans="1:8" x14ac:dyDescent="0.25">
      <c r="A87">
        <f t="shared" si="5"/>
        <v>83</v>
      </c>
      <c r="B87" s="5">
        <v>4</v>
      </c>
      <c r="C87" s="5">
        <v>105</v>
      </c>
      <c r="D87" s="1">
        <f t="shared" si="6"/>
        <v>80.369999999999976</v>
      </c>
      <c r="E87" s="3">
        <f t="shared" si="4"/>
        <v>1.05</v>
      </c>
      <c r="F87" s="1">
        <v>0.10099999999999999</v>
      </c>
      <c r="G87" s="1">
        <v>6.9530000000000003</v>
      </c>
      <c r="H87" s="3">
        <f t="shared" si="7"/>
        <v>826.48592515442158</v>
      </c>
    </row>
    <row r="88" spans="1:8" x14ac:dyDescent="0.25">
      <c r="A88">
        <f t="shared" si="5"/>
        <v>84</v>
      </c>
      <c r="B88" s="5">
        <v>2</v>
      </c>
      <c r="C88" s="5">
        <v>107</v>
      </c>
      <c r="D88" s="1">
        <f t="shared" si="6"/>
        <v>81.419999999999973</v>
      </c>
      <c r="E88" s="3">
        <f t="shared" si="4"/>
        <v>1.07</v>
      </c>
      <c r="F88" s="1">
        <v>0.10099999999999999</v>
      </c>
      <c r="G88" s="1">
        <v>7.2690000000000001</v>
      </c>
      <c r="H88" s="3">
        <f t="shared" si="7"/>
        <v>847.89763303204893</v>
      </c>
    </row>
    <row r="89" spans="1:8" x14ac:dyDescent="0.25">
      <c r="A89">
        <f t="shared" si="5"/>
        <v>85</v>
      </c>
      <c r="B89" s="5">
        <v>2</v>
      </c>
      <c r="C89" s="5">
        <v>107</v>
      </c>
      <c r="D89" s="1">
        <f t="shared" si="6"/>
        <v>82.489999999999966</v>
      </c>
      <c r="E89" s="3">
        <f t="shared" si="4"/>
        <v>1.07</v>
      </c>
      <c r="F89" s="1">
        <v>0.10099999999999999</v>
      </c>
      <c r="G89" s="1">
        <v>7.2359999999999998</v>
      </c>
      <c r="H89" s="3">
        <f t="shared" si="7"/>
        <v>844.04832475167223</v>
      </c>
    </row>
    <row r="90" spans="1:8" x14ac:dyDescent="0.25">
      <c r="A90">
        <f t="shared" si="5"/>
        <v>86</v>
      </c>
      <c r="B90" s="5">
        <v>3</v>
      </c>
      <c r="C90" s="5">
        <v>106</v>
      </c>
      <c r="D90" s="1">
        <f t="shared" si="6"/>
        <v>83.55999999999996</v>
      </c>
      <c r="E90" s="3">
        <f t="shared" si="4"/>
        <v>1.06</v>
      </c>
      <c r="F90" s="1"/>
      <c r="G90" s="1">
        <v>6.931</v>
      </c>
      <c r="H90" s="3"/>
    </row>
    <row r="91" spans="1:8" x14ac:dyDescent="0.25">
      <c r="A91">
        <f t="shared" si="5"/>
        <v>87</v>
      </c>
      <c r="B91" s="5">
        <v>2</v>
      </c>
      <c r="C91" s="5">
        <v>108</v>
      </c>
      <c r="D91" s="1">
        <f t="shared" si="6"/>
        <v>84.619999999999962</v>
      </c>
      <c r="E91" s="3">
        <f t="shared" si="4"/>
        <v>1.08</v>
      </c>
      <c r="F91" s="1">
        <v>0.10099999999999999</v>
      </c>
      <c r="G91" s="1">
        <v>7.173</v>
      </c>
      <c r="H91" s="3">
        <f t="shared" si="7"/>
        <v>828.95242636928629</v>
      </c>
    </row>
    <row r="92" spans="1:8" x14ac:dyDescent="0.25">
      <c r="A92">
        <f t="shared" si="5"/>
        <v>88</v>
      </c>
      <c r="B92" s="5">
        <v>3</v>
      </c>
      <c r="C92" s="5">
        <v>106</v>
      </c>
      <c r="D92" s="1">
        <f t="shared" si="6"/>
        <v>85.69999999999996</v>
      </c>
      <c r="E92" s="3">
        <f t="shared" si="4"/>
        <v>1.06</v>
      </c>
      <c r="F92" s="1"/>
      <c r="G92" s="1">
        <v>6.9359999999999999</v>
      </c>
      <c r="H92" s="3"/>
    </row>
    <row r="93" spans="1:8" x14ac:dyDescent="0.25">
      <c r="A93">
        <f t="shared" si="5"/>
        <v>89</v>
      </c>
      <c r="B93" s="5">
        <v>3</v>
      </c>
      <c r="C93" s="5">
        <v>95</v>
      </c>
      <c r="D93" s="1">
        <f t="shared" si="6"/>
        <v>86.759999999999962</v>
      </c>
      <c r="E93" s="3">
        <f t="shared" si="4"/>
        <v>0.95</v>
      </c>
      <c r="F93" s="1">
        <v>0.10099999999999999</v>
      </c>
      <c r="G93" s="1">
        <v>6.3620000000000001</v>
      </c>
      <c r="H93" s="3">
        <f t="shared" si="7"/>
        <v>835.83892278593135</v>
      </c>
    </row>
    <row r="94" spans="1:8" x14ac:dyDescent="0.25">
      <c r="A94">
        <f t="shared" si="5"/>
        <v>90</v>
      </c>
      <c r="B94" s="5">
        <v>2</v>
      </c>
      <c r="C94" s="5">
        <v>106</v>
      </c>
      <c r="D94" s="1">
        <f t="shared" si="6"/>
        <v>87.709999999999965</v>
      </c>
      <c r="E94" s="3">
        <f t="shared" si="4"/>
        <v>1.06</v>
      </c>
      <c r="F94" s="1">
        <v>0.10099999999999999</v>
      </c>
      <c r="G94" s="1">
        <v>7.3339999999999996</v>
      </c>
      <c r="H94" s="3">
        <f t="shared" si="7"/>
        <v>863.55016618816001</v>
      </c>
    </row>
    <row r="95" spans="1:8" x14ac:dyDescent="0.25">
      <c r="A95">
        <f t="shared" si="5"/>
        <v>91</v>
      </c>
      <c r="B95" s="5" t="s">
        <v>12</v>
      </c>
      <c r="C95" s="5">
        <v>107</v>
      </c>
      <c r="D95" s="1">
        <f t="shared" si="6"/>
        <v>88.769999999999968</v>
      </c>
      <c r="E95" s="3">
        <f t="shared" si="4"/>
        <v>1.07</v>
      </c>
      <c r="F95" s="1">
        <v>0.10099999999999999</v>
      </c>
      <c r="G95" s="1">
        <v>7.2450000000000001</v>
      </c>
      <c r="H95" s="3">
        <f t="shared" si="7"/>
        <v>845.09813610086587</v>
      </c>
    </row>
    <row r="96" spans="1:8" x14ac:dyDescent="0.25">
      <c r="A96">
        <f t="shared" si="5"/>
        <v>92</v>
      </c>
      <c r="B96" s="5">
        <v>2</v>
      </c>
      <c r="C96" s="5">
        <v>107</v>
      </c>
      <c r="D96" s="1">
        <f t="shared" si="6"/>
        <v>89.839999999999961</v>
      </c>
      <c r="E96" s="3">
        <f t="shared" si="4"/>
        <v>1.07</v>
      </c>
      <c r="F96" s="1">
        <v>0.10099999999999999</v>
      </c>
      <c r="G96" s="1">
        <v>7.3959999999999999</v>
      </c>
      <c r="H96" s="3">
        <f t="shared" si="7"/>
        <v>862.71163762622552</v>
      </c>
    </row>
    <row r="97" spans="1:8" x14ac:dyDescent="0.25">
      <c r="A97">
        <f t="shared" si="5"/>
        <v>93</v>
      </c>
      <c r="B97" s="5">
        <v>3</v>
      </c>
      <c r="C97" s="5">
        <v>107</v>
      </c>
      <c r="D97" s="1">
        <f t="shared" si="6"/>
        <v>90.909999999999954</v>
      </c>
      <c r="E97" s="3">
        <f t="shared" si="4"/>
        <v>1.07</v>
      </c>
      <c r="F97" s="1">
        <v>0.10099999999999999</v>
      </c>
      <c r="G97" s="1">
        <v>7.3659999999999997</v>
      </c>
      <c r="H97" s="3">
        <f t="shared" si="7"/>
        <v>859.21226646224682</v>
      </c>
    </row>
    <row r="98" spans="1:8" x14ac:dyDescent="0.25">
      <c r="A98">
        <f t="shared" si="5"/>
        <v>94</v>
      </c>
      <c r="B98" s="5">
        <v>5</v>
      </c>
      <c r="C98" s="5">
        <v>98</v>
      </c>
      <c r="D98" s="1">
        <f t="shared" si="6"/>
        <v>91.979999999999947</v>
      </c>
      <c r="E98" s="3">
        <f t="shared" si="4"/>
        <v>0.98</v>
      </c>
      <c r="F98" s="1">
        <v>0.10099999999999999</v>
      </c>
      <c r="G98" s="1">
        <v>6.508</v>
      </c>
      <c r="H98" s="3">
        <f t="shared" si="7"/>
        <v>828.84629464747627</v>
      </c>
    </row>
    <row r="99" spans="1:8" x14ac:dyDescent="0.25">
      <c r="A99">
        <f t="shared" si="5"/>
        <v>95</v>
      </c>
      <c r="B99" s="5">
        <v>2</v>
      </c>
      <c r="C99" s="5">
        <v>103</v>
      </c>
      <c r="D99" s="1">
        <f t="shared" si="6"/>
        <v>92.959999999999951</v>
      </c>
      <c r="E99" s="3">
        <f t="shared" si="4"/>
        <v>1.03</v>
      </c>
      <c r="F99" s="1">
        <v>0.10099999999999999</v>
      </c>
      <c r="G99" s="1">
        <v>6.9409999999999998</v>
      </c>
      <c r="H99" s="3">
        <f t="shared" si="7"/>
        <v>841.08008791646569</v>
      </c>
    </row>
    <row r="100" spans="1:8" x14ac:dyDescent="0.25">
      <c r="A100">
        <f t="shared" si="5"/>
        <v>96</v>
      </c>
      <c r="B100" s="5">
        <v>3</v>
      </c>
      <c r="C100" s="5">
        <v>109</v>
      </c>
      <c r="D100" s="1">
        <f t="shared" si="6"/>
        <v>93.989999999999952</v>
      </c>
      <c r="E100" s="3">
        <f t="shared" si="4"/>
        <v>1.0900000000000001</v>
      </c>
      <c r="F100" s="1">
        <v>0.10099999999999999</v>
      </c>
      <c r="G100" s="1">
        <v>7.6059999999999999</v>
      </c>
      <c r="H100" s="3">
        <f t="shared" si="7"/>
        <v>870.92820392501119</v>
      </c>
    </row>
    <row r="101" spans="1:8" x14ac:dyDescent="0.25">
      <c r="A101">
        <f t="shared" si="5"/>
        <v>97</v>
      </c>
      <c r="B101" s="5">
        <v>4</v>
      </c>
      <c r="C101" s="5">
        <v>107</v>
      </c>
      <c r="D101" s="1">
        <f t="shared" si="6"/>
        <v>95.079999999999956</v>
      </c>
      <c r="E101" s="3">
        <f t="shared" si="4"/>
        <v>1.07</v>
      </c>
      <c r="F101" s="1">
        <v>0.10099999999999999</v>
      </c>
      <c r="G101" s="1">
        <v>7.2679999999999998</v>
      </c>
      <c r="H101" s="3">
        <f t="shared" si="7"/>
        <v>847.78098732658293</v>
      </c>
    </row>
    <row r="102" spans="1:8" x14ac:dyDescent="0.25">
      <c r="A102">
        <f t="shared" si="5"/>
        <v>98</v>
      </c>
      <c r="B102" s="5" t="s">
        <v>28</v>
      </c>
      <c r="C102" s="5">
        <v>105</v>
      </c>
      <c r="D102" s="1">
        <f t="shared" si="6"/>
        <v>96.149999999999949</v>
      </c>
      <c r="E102" s="3">
        <f t="shared" si="4"/>
        <v>1.05</v>
      </c>
      <c r="F102" s="1" t="s">
        <v>29</v>
      </c>
      <c r="G102" s="1"/>
      <c r="H102" s="3"/>
    </row>
    <row r="103" spans="1:8" x14ac:dyDescent="0.25">
      <c r="A103">
        <f t="shared" si="5"/>
        <v>99</v>
      </c>
      <c r="B103" s="5">
        <v>5</v>
      </c>
      <c r="C103" s="5">
        <v>107</v>
      </c>
      <c r="D103" s="1">
        <f t="shared" si="6"/>
        <v>97.199999999999946</v>
      </c>
      <c r="E103" s="3">
        <f t="shared" si="4"/>
        <v>1.07</v>
      </c>
      <c r="F103" s="1">
        <v>0.10099999999999999</v>
      </c>
      <c r="G103" s="1">
        <v>7.3090000000000002</v>
      </c>
      <c r="H103" s="3">
        <f t="shared" si="7"/>
        <v>852.56346125068717</v>
      </c>
    </row>
    <row r="104" spans="1:8" x14ac:dyDescent="0.25">
      <c r="A104">
        <f t="shared" si="5"/>
        <v>100</v>
      </c>
      <c r="B104" s="5" t="s">
        <v>14</v>
      </c>
      <c r="C104" s="5">
        <v>105</v>
      </c>
      <c r="D104" s="1">
        <f t="shared" si="6"/>
        <v>98.269999999999939</v>
      </c>
      <c r="E104" s="3">
        <f t="shared" si="4"/>
        <v>1.05</v>
      </c>
      <c r="F104" s="1">
        <v>0.10099999999999999</v>
      </c>
      <c r="G104" s="1">
        <v>7.3550000000000004</v>
      </c>
      <c r="H104" s="3">
        <f t="shared" si="7"/>
        <v>874.27067158216187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D1</vt:lpstr>
      <vt:lpstr>D2</vt:lpstr>
      <vt:lpstr>D3</vt:lpstr>
    </vt:vector>
  </TitlesOfParts>
  <Company>DRI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jmcconn</dc:creator>
  <cp:lastModifiedBy>jmcconn</cp:lastModifiedBy>
  <dcterms:created xsi:type="dcterms:W3CDTF">2013-01-24T07:35:21Z</dcterms:created>
  <dcterms:modified xsi:type="dcterms:W3CDTF">2013-01-24T08:24:26Z</dcterms:modified>
</cp:coreProperties>
</file>