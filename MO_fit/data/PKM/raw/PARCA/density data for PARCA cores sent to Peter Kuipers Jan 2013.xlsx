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autoCompressPictures="0"/>
  <bookViews>
    <workbookView xWindow="120" yWindow="100" windowWidth="19040" windowHeight="11500" activeTab="3"/>
  </bookViews>
  <sheets>
    <sheet name="NASA U Cores 1995" sheetId="4" r:id="rId1"/>
    <sheet name="GITS 1996" sheetId="5" r:id="rId2"/>
    <sheet name="PARCA 1997 cores" sheetId="2" r:id="rId3"/>
    <sheet name="PARCA 1998 cores" sheetId="1" r:id="rId4"/>
    <sheet name="PARCA 1999 cores" sheetId="3" r:id="rId5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7" i="3" l="1"/>
  <c r="W7" i="3"/>
  <c r="R8" i="3"/>
  <c r="W8" i="3"/>
  <c r="R9" i="3"/>
  <c r="W9" i="3"/>
  <c r="R10" i="3"/>
  <c r="W10" i="3"/>
  <c r="R11" i="3"/>
  <c r="W11" i="3"/>
  <c r="R12" i="3"/>
  <c r="W12" i="3"/>
  <c r="R13" i="3"/>
  <c r="W13" i="3"/>
  <c r="R14" i="3"/>
  <c r="W14" i="3"/>
  <c r="R15" i="3"/>
  <c r="W15" i="3"/>
  <c r="R16" i="3"/>
  <c r="W16" i="3"/>
  <c r="R17" i="3"/>
  <c r="W17" i="3"/>
  <c r="R18" i="3"/>
  <c r="W18" i="3"/>
  <c r="R19" i="3"/>
  <c r="W19" i="3"/>
  <c r="R20" i="3"/>
  <c r="W20" i="3"/>
  <c r="R21" i="3"/>
  <c r="W21" i="3"/>
  <c r="R22" i="3"/>
  <c r="W22" i="3"/>
  <c r="R23" i="3"/>
  <c r="W23" i="3"/>
  <c r="R24" i="3"/>
  <c r="W24" i="3"/>
  <c r="R25" i="3"/>
  <c r="W25" i="3"/>
  <c r="R26" i="3"/>
  <c r="W26" i="3"/>
  <c r="R27" i="3"/>
  <c r="W27" i="3"/>
  <c r="R28" i="3"/>
  <c r="W28" i="3"/>
  <c r="R29" i="3"/>
  <c r="W29" i="3"/>
  <c r="R30" i="3"/>
  <c r="W30" i="3"/>
  <c r="G9" i="5"/>
  <c r="H9" i="5"/>
  <c r="B10" i="4"/>
  <c r="B16" i="4"/>
  <c r="B25" i="4"/>
  <c r="B43" i="4"/>
  <c r="B56" i="4"/>
  <c r="A67" i="4"/>
  <c r="B68" i="4"/>
  <c r="B77" i="4"/>
  <c r="B97" i="4"/>
  <c r="B110" i="4"/>
  <c r="B122" i="4"/>
  <c r="B134" i="4"/>
  <c r="B146" i="4"/>
  <c r="B158" i="4"/>
  <c r="B170" i="4"/>
  <c r="B190" i="4"/>
  <c r="B211" i="4"/>
  <c r="B232" i="4"/>
  <c r="B247" i="4"/>
  <c r="B260" i="4"/>
  <c r="B278" i="4"/>
  <c r="B291" i="4"/>
  <c r="B307" i="4"/>
  <c r="B324" i="4"/>
  <c r="B337" i="4"/>
  <c r="B359" i="4"/>
  <c r="B378" i="4"/>
  <c r="B395" i="4"/>
  <c r="B411" i="4"/>
  <c r="B440" i="4"/>
  <c r="B463" i="4"/>
  <c r="B481" i="4"/>
  <c r="B500" i="4"/>
  <c r="B520" i="4"/>
  <c r="B541" i="4"/>
  <c r="B561" i="4"/>
  <c r="B585" i="4"/>
  <c r="A617" i="4"/>
  <c r="B618" i="4"/>
  <c r="B629" i="4"/>
  <c r="A644" i="4"/>
  <c r="B645" i="4"/>
  <c r="B671" i="4"/>
  <c r="B697" i="4"/>
  <c r="B716" i="4"/>
  <c r="B729" i="4"/>
  <c r="B745" i="4"/>
  <c r="B771" i="4"/>
  <c r="B787" i="4"/>
  <c r="B814" i="4"/>
  <c r="B845" i="4"/>
  <c r="B871" i="4"/>
  <c r="B896" i="4"/>
  <c r="B936" i="4"/>
  <c r="B952" i="4"/>
  <c r="B968" i="4"/>
  <c r="B990" i="4"/>
  <c r="B1010" i="4"/>
  <c r="B1037" i="4"/>
  <c r="B1051" i="4"/>
  <c r="B1070" i="4"/>
  <c r="B1089" i="4"/>
  <c r="B1099" i="4"/>
  <c r="B1115" i="4"/>
  <c r="B1128" i="4"/>
  <c r="B1137" i="4"/>
  <c r="B1151" i="4"/>
  <c r="B1160" i="4"/>
  <c r="B1170" i="4"/>
  <c r="B1176" i="4"/>
  <c r="B1189" i="4"/>
  <c r="B1200" i="4"/>
  <c r="B1206" i="4"/>
  <c r="B1214" i="4"/>
  <c r="B1222" i="4"/>
  <c r="B1227" i="4"/>
  <c r="B1234" i="4"/>
  <c r="B1243" i="4"/>
  <c r="B1251" i="4"/>
  <c r="B1260" i="4"/>
  <c r="B1271" i="4"/>
  <c r="B1281" i="4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G17" i="5"/>
  <c r="H16" i="5"/>
  <c r="H17" i="5"/>
  <c r="G18" i="5"/>
  <c r="H18" i="5"/>
  <c r="G19" i="5"/>
  <c r="G20" i="5"/>
  <c r="H19" i="5"/>
  <c r="G21" i="5"/>
  <c r="H20" i="5"/>
  <c r="H21" i="5"/>
  <c r="G22" i="5"/>
  <c r="G23" i="5"/>
  <c r="H22" i="5"/>
  <c r="G24" i="5"/>
  <c r="H23" i="5"/>
  <c r="G25" i="5"/>
  <c r="H24" i="5"/>
  <c r="G26" i="5"/>
  <c r="H25" i="5"/>
  <c r="G27" i="5"/>
  <c r="H26" i="5"/>
  <c r="G28" i="5"/>
  <c r="H27" i="5"/>
  <c r="G29" i="5"/>
  <c r="H28" i="5"/>
  <c r="G30" i="5"/>
  <c r="H29" i="5"/>
  <c r="G31" i="5"/>
  <c r="H30" i="5"/>
  <c r="G32" i="5"/>
  <c r="H31" i="5"/>
  <c r="G33" i="5"/>
  <c r="H32" i="5"/>
  <c r="G34" i="5"/>
  <c r="H33" i="5"/>
  <c r="G35" i="5"/>
  <c r="H34" i="5"/>
  <c r="H35" i="5"/>
  <c r="G36" i="5"/>
  <c r="H36" i="5"/>
  <c r="G37" i="5"/>
  <c r="H37" i="5"/>
  <c r="G38" i="5"/>
  <c r="G39" i="5"/>
  <c r="H38" i="5"/>
  <c r="H39" i="5"/>
  <c r="G40" i="5"/>
  <c r="G41" i="5"/>
  <c r="H40" i="5"/>
  <c r="G42" i="5"/>
  <c r="H41" i="5"/>
  <c r="H42" i="5"/>
  <c r="G43" i="5"/>
  <c r="G44" i="5"/>
  <c r="H43" i="5"/>
  <c r="H44" i="5"/>
  <c r="G45" i="5"/>
  <c r="H45" i="5"/>
  <c r="G46" i="5"/>
  <c r="G47" i="5"/>
  <c r="H46" i="5"/>
  <c r="H47" i="5"/>
  <c r="G48" i="5"/>
  <c r="G49" i="5"/>
  <c r="H48" i="5"/>
  <c r="H49" i="5"/>
  <c r="G50" i="5"/>
  <c r="H50" i="5"/>
  <c r="G51" i="5"/>
  <c r="H51" i="5"/>
  <c r="G52" i="5"/>
  <c r="H52" i="5"/>
  <c r="G53" i="5"/>
  <c r="H53" i="5"/>
  <c r="G54" i="5"/>
  <c r="G55" i="5"/>
  <c r="H54" i="5"/>
  <c r="H55" i="5"/>
  <c r="G56" i="5"/>
  <c r="G57" i="5"/>
  <c r="H56" i="5"/>
  <c r="H57" i="5"/>
  <c r="G58" i="5"/>
  <c r="G59" i="5"/>
  <c r="H58" i="5"/>
  <c r="G60" i="5"/>
  <c r="H59" i="5"/>
  <c r="H60" i="5"/>
  <c r="G61" i="5"/>
  <c r="G62" i="5"/>
  <c r="H61" i="5"/>
  <c r="H62" i="5"/>
  <c r="G63" i="5"/>
  <c r="G64" i="5"/>
  <c r="H63" i="5"/>
  <c r="H64" i="5"/>
  <c r="G65" i="5"/>
  <c r="H65" i="5"/>
  <c r="G66" i="5"/>
  <c r="H66" i="5"/>
  <c r="G67" i="5"/>
  <c r="G68" i="5"/>
  <c r="H67" i="5"/>
  <c r="H68" i="5"/>
  <c r="G69" i="5"/>
  <c r="H69" i="5"/>
  <c r="G70" i="5"/>
  <c r="G71" i="5"/>
  <c r="H70" i="5"/>
  <c r="H71" i="5"/>
  <c r="G72" i="5"/>
  <c r="H72" i="5"/>
  <c r="G73" i="5"/>
  <c r="G74" i="5"/>
  <c r="H73" i="5"/>
  <c r="G75" i="5"/>
  <c r="H74" i="5"/>
  <c r="H75" i="5"/>
  <c r="G76" i="5"/>
  <c r="H76" i="5"/>
  <c r="G77" i="5"/>
  <c r="H77" i="5"/>
  <c r="G78" i="5"/>
  <c r="H78" i="5"/>
  <c r="G79" i="5"/>
  <c r="G80" i="5"/>
  <c r="H79" i="5"/>
  <c r="G81" i="5"/>
  <c r="H80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G89" i="5"/>
  <c r="H88" i="5"/>
  <c r="H89" i="5"/>
  <c r="G90" i="5"/>
  <c r="G91" i="5"/>
  <c r="H90" i="5"/>
  <c r="H91" i="5"/>
  <c r="G92" i="5"/>
  <c r="H92" i="5"/>
  <c r="G93" i="5"/>
  <c r="G94" i="5"/>
  <c r="H93" i="5"/>
  <c r="G95" i="5"/>
  <c r="H94" i="5"/>
  <c r="H95" i="5"/>
  <c r="G96" i="5"/>
  <c r="G97" i="5"/>
  <c r="H96" i="5"/>
  <c r="G98" i="5"/>
  <c r="H97" i="5"/>
  <c r="H98" i="5"/>
  <c r="G99" i="5"/>
  <c r="H99" i="5"/>
  <c r="G100" i="5"/>
  <c r="H100" i="5"/>
  <c r="G101" i="5"/>
  <c r="G102" i="5"/>
  <c r="H101" i="5"/>
  <c r="H102" i="5"/>
  <c r="G103" i="5"/>
  <c r="H103" i="5"/>
  <c r="G104" i="5"/>
  <c r="G105" i="5"/>
  <c r="H104" i="5"/>
  <c r="G106" i="5"/>
  <c r="H105" i="5"/>
  <c r="H106" i="5"/>
  <c r="G107" i="5"/>
  <c r="H107" i="5"/>
  <c r="G108" i="5"/>
  <c r="G109" i="5"/>
  <c r="H108" i="5"/>
  <c r="G110" i="5"/>
  <c r="H109" i="5"/>
  <c r="H110" i="5"/>
  <c r="G111" i="5"/>
  <c r="G112" i="5"/>
  <c r="H111" i="5"/>
  <c r="G113" i="5"/>
  <c r="H112" i="5"/>
  <c r="G114" i="5"/>
  <c r="H113" i="5"/>
  <c r="G115" i="5"/>
  <c r="H114" i="5"/>
  <c r="G116" i="5"/>
  <c r="H115" i="5"/>
  <c r="H116" i="5"/>
  <c r="G117" i="5"/>
  <c r="H117" i="5"/>
  <c r="G118" i="5"/>
  <c r="G119" i="5"/>
  <c r="H118" i="5"/>
  <c r="G120" i="5"/>
  <c r="H119" i="5"/>
  <c r="H120" i="5"/>
  <c r="G121" i="5"/>
  <c r="G122" i="5"/>
  <c r="H121" i="5"/>
  <c r="H122" i="5"/>
  <c r="G123" i="5"/>
  <c r="H123" i="5"/>
  <c r="G124" i="5"/>
  <c r="H124" i="5"/>
  <c r="G125" i="5"/>
  <c r="G126" i="5"/>
  <c r="H125" i="5"/>
  <c r="H126" i="5"/>
  <c r="G127" i="5"/>
  <c r="H127" i="5"/>
  <c r="G128" i="5"/>
  <c r="G129" i="5"/>
  <c r="H128" i="5"/>
  <c r="H129" i="5"/>
  <c r="G130" i="5"/>
  <c r="H130" i="5"/>
  <c r="G131" i="5"/>
  <c r="H131" i="5"/>
  <c r="G132" i="5"/>
  <c r="G133" i="5"/>
  <c r="H132" i="5"/>
  <c r="G134" i="5"/>
  <c r="H133" i="5"/>
  <c r="H134" i="5"/>
  <c r="G135" i="5"/>
  <c r="G136" i="5"/>
  <c r="H135" i="5"/>
  <c r="G137" i="5"/>
  <c r="H136" i="5"/>
  <c r="H137" i="5"/>
  <c r="G138" i="5"/>
  <c r="H138" i="5"/>
  <c r="G139" i="5"/>
  <c r="G140" i="5"/>
  <c r="H139" i="5"/>
  <c r="G141" i="5"/>
  <c r="H140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G148" i="5"/>
  <c r="H147" i="5"/>
</calcChain>
</file>

<file path=xl/sharedStrings.xml><?xml version="1.0" encoding="utf-8"?>
<sst xmlns="http://schemas.openxmlformats.org/spreadsheetml/2006/main" count="1500" uniqueCount="324">
  <si>
    <t>CORE 6345</t>
  </si>
  <si>
    <t>see notes at end of table</t>
  </si>
  <si>
    <t>drilled in 1998</t>
  </si>
  <si>
    <t>lat</t>
  </si>
  <si>
    <t>63.8 N</t>
  </si>
  <si>
    <t>Density data</t>
  </si>
  <si>
    <t>long</t>
  </si>
  <si>
    <t>45. W</t>
  </si>
  <si>
    <t xml:space="preserve">depth </t>
  </si>
  <si>
    <t xml:space="preserve">density </t>
  </si>
  <si>
    <t>elevation</t>
  </si>
  <si>
    <t>~2730 m</t>
  </si>
  <si>
    <t xml:space="preserve">m firn </t>
  </si>
  <si>
    <t>kg m-3</t>
  </si>
  <si>
    <t>bottom depth</t>
  </si>
  <si>
    <t>14.82m</t>
  </si>
  <si>
    <t>coefficients for depth-</t>
  </si>
  <si>
    <t>density polynomial</t>
  </si>
  <si>
    <t>McConnell</t>
  </si>
  <si>
    <t>A[0] = 337.894</t>
  </si>
  <si>
    <t>A[1] = 39.562</t>
  </si>
  <si>
    <t>A[2] = -4.227</t>
  </si>
  <si>
    <t>A[3] = 0.310</t>
  </si>
  <si>
    <t>A[4] = -0.88E-3</t>
  </si>
  <si>
    <t>R2 = 0.979</t>
  </si>
  <si>
    <t>measured in field</t>
  </si>
  <si>
    <t xml:space="preserve">Note: the depths are the mid-points </t>
  </si>
  <si>
    <t xml:space="preserve">for the sections of core for which </t>
  </si>
  <si>
    <t>the density measurements were made.</t>
  </si>
  <si>
    <t>These densities calculated by OSU</t>
  </si>
  <si>
    <t xml:space="preserve">using measurements made by </t>
  </si>
  <si>
    <t xml:space="preserve">McConnell in the field </t>
  </si>
  <si>
    <t>as the core was drilled.</t>
  </si>
  <si>
    <t>CORE 6348</t>
  </si>
  <si>
    <t>63.0 N</t>
  </si>
  <si>
    <t>48. W</t>
  </si>
  <si>
    <t>1960 m</t>
  </si>
  <si>
    <t>15.02 m</t>
  </si>
  <si>
    <t>A[0] = 359.596</t>
  </si>
  <si>
    <t>A[1] = 44.073</t>
  </si>
  <si>
    <t>A[2] = -1.276</t>
  </si>
  <si>
    <t>R2 = 0.907</t>
  </si>
  <si>
    <t>densities measured in field</t>
  </si>
  <si>
    <t>These densities calculated by McConnell</t>
  </si>
  <si>
    <t>using measurements made</t>
  </si>
  <si>
    <t>These are the 1998 cores (shallow)</t>
  </si>
  <si>
    <t>CORE 6642 (B)</t>
  </si>
  <si>
    <t>66.5 N</t>
  </si>
  <si>
    <t>42.5 W</t>
  </si>
  <si>
    <t>~2380 m</t>
  </si>
  <si>
    <t>m firn of the</t>
  </si>
  <si>
    <t xml:space="preserve">20.53 m </t>
  </si>
  <si>
    <t xml:space="preserve">mid point </t>
  </si>
  <si>
    <t xml:space="preserve">of piece </t>
  </si>
  <si>
    <t>A[0] = 302.521</t>
  </si>
  <si>
    <t>A[1] = 53.207</t>
  </si>
  <si>
    <t>A[2] = -3.732</t>
  </si>
  <si>
    <t>A[3] = 0.093</t>
  </si>
  <si>
    <t>R2 = 0.968</t>
  </si>
  <si>
    <t>CORE 6745</t>
  </si>
  <si>
    <t>67.5 N</t>
  </si>
  <si>
    <t>45.0 W</t>
  </si>
  <si>
    <t>~2250 m</t>
  </si>
  <si>
    <t xml:space="preserve">12.06 m </t>
  </si>
  <si>
    <t>A[0] = 342.178</t>
  </si>
  <si>
    <t>A[1] = 33.071</t>
  </si>
  <si>
    <t>A[2] = -1.194</t>
  </si>
  <si>
    <t>R2 = 0.912</t>
  </si>
  <si>
    <t>CORE 6839</t>
  </si>
  <si>
    <t>68.5 N</t>
  </si>
  <si>
    <t>39.5W</t>
  </si>
  <si>
    <t>~2790 m</t>
  </si>
  <si>
    <t>11.89 m</t>
  </si>
  <si>
    <t>A[0] = 317.593</t>
  </si>
  <si>
    <t>A[1] = 36.616</t>
  </si>
  <si>
    <t>A[2] = -1.504</t>
  </si>
  <si>
    <t>R2 = 0.961</t>
  </si>
  <si>
    <t>CORE 6841</t>
  </si>
  <si>
    <t>68.0 N</t>
  </si>
  <si>
    <t>41.0 W</t>
  </si>
  <si>
    <t>~2640</t>
  </si>
  <si>
    <t>12.03 m</t>
  </si>
  <si>
    <t>A[0] = 302.156</t>
  </si>
  <si>
    <t>A[1] = 69.721</t>
  </si>
  <si>
    <t>A[2] = -11.219</t>
  </si>
  <si>
    <t>A[3] = 0.919</t>
  </si>
  <si>
    <t>A[4] = -0.027</t>
  </si>
  <si>
    <t>R2 = 0.956</t>
  </si>
  <si>
    <t>CORE 6938</t>
  </si>
  <si>
    <t>69.0 N</t>
  </si>
  <si>
    <t>38.0 W</t>
  </si>
  <si>
    <t>~2920 m</t>
  </si>
  <si>
    <t>12.20 m</t>
  </si>
  <si>
    <t>A[0]</t>
  </si>
  <si>
    <t>A[1]</t>
  </si>
  <si>
    <t>A[2]</t>
  </si>
  <si>
    <t>A[3]</t>
  </si>
  <si>
    <t>R ²</t>
  </si>
  <si>
    <t>CORE 6939</t>
  </si>
  <si>
    <t>69.6 N</t>
  </si>
  <si>
    <t>39.0 W</t>
  </si>
  <si>
    <t>~2955 m</t>
  </si>
  <si>
    <t>12.25 m</t>
  </si>
  <si>
    <t>A[4]</t>
  </si>
  <si>
    <t>CORE 6941</t>
  </si>
  <si>
    <t>69.4 N</t>
  </si>
  <si>
    <t>~2765 m</t>
  </si>
  <si>
    <t>11.71 m</t>
  </si>
  <si>
    <t>R²</t>
  </si>
  <si>
    <t>CORE 6943</t>
  </si>
  <si>
    <t>69.2 N</t>
  </si>
  <si>
    <t>43.0 W</t>
  </si>
  <si>
    <t>~2500 m</t>
  </si>
  <si>
    <t>17.85 m</t>
  </si>
  <si>
    <t>CORE 6945</t>
  </si>
  <si>
    <t>~2150 m</t>
  </si>
  <si>
    <t>18.56 m</t>
  </si>
  <si>
    <t>used a combined note</t>
  </si>
  <si>
    <t xml:space="preserve">density model </t>
  </si>
  <si>
    <t xml:space="preserve">for the upper 6.75 m </t>
  </si>
  <si>
    <t>we used</t>
  </si>
  <si>
    <t xml:space="preserve">R2 = </t>
  </si>
  <si>
    <t xml:space="preserve">from 6.75 m to bottom </t>
  </si>
  <si>
    <t>R2</t>
  </si>
  <si>
    <t>CORE 7145</t>
  </si>
  <si>
    <t>71.5 N</t>
  </si>
  <si>
    <t>~2615 m</t>
  </si>
  <si>
    <t>12.01 m</t>
  </si>
  <si>
    <t>density model used</t>
  </si>
  <si>
    <t>to convert to w.e.</t>
  </si>
  <si>
    <t>CORE 7245</t>
  </si>
  <si>
    <t>72.25 N</t>
  </si>
  <si>
    <t>~2770 m</t>
  </si>
  <si>
    <t>12.11 m</t>
  </si>
  <si>
    <t>CORE 7249</t>
  </si>
  <si>
    <t>72.2 N</t>
  </si>
  <si>
    <t>49.4 W</t>
  </si>
  <si>
    <t>~2170 m</t>
  </si>
  <si>
    <t xml:space="preserve">15.25 m </t>
  </si>
  <si>
    <t>CORE 7345</t>
  </si>
  <si>
    <t>73.0 N</t>
  </si>
  <si>
    <t>~2815 m</t>
  </si>
  <si>
    <t xml:space="preserve">14.60 m </t>
  </si>
  <si>
    <t>CORE 7347</t>
  </si>
  <si>
    <t>73.6 N</t>
  </si>
  <si>
    <t>47.2 W</t>
  </si>
  <si>
    <t>~2600 m</t>
  </si>
  <si>
    <t>12.24 m</t>
  </si>
  <si>
    <t>CORE 7147</t>
  </si>
  <si>
    <t>(see notes at end of table)</t>
  </si>
  <si>
    <t>drilled in 1997</t>
  </si>
  <si>
    <t>71.05 N</t>
  </si>
  <si>
    <t>47.23 W</t>
  </si>
  <si>
    <t>2134 m</t>
  </si>
  <si>
    <t>19.86 m</t>
  </si>
  <si>
    <t>Shuman</t>
  </si>
  <si>
    <t>A[0] = 0.34591</t>
  </si>
  <si>
    <t>A[1] = 0.030754</t>
  </si>
  <si>
    <t>(see note</t>
  </si>
  <si>
    <t>A[2] = -0.0013098</t>
  </si>
  <si>
    <t>below)</t>
  </si>
  <si>
    <t>A[3] = 2.3226e-05</t>
  </si>
  <si>
    <t>R square = 0.95633</t>
  </si>
  <si>
    <t>The top 4 measurements were provided</t>
  </si>
  <si>
    <t>by Chris Shuman from pit studies in this</t>
  </si>
  <si>
    <t>region.  All other densities were measured</t>
  </si>
  <si>
    <t xml:space="preserve">on the core as it was drilled.  </t>
  </si>
  <si>
    <t>These are the 1997 cores (shallow)</t>
  </si>
  <si>
    <t>CORE 7247</t>
  </si>
  <si>
    <t>2277 m</t>
  </si>
  <si>
    <t>20.02 m</t>
  </si>
  <si>
    <t>A[0] = 330.5628</t>
  </si>
  <si>
    <t>A[1] = 44.235443</t>
  </si>
  <si>
    <t>A[2] = -4.610924</t>
  </si>
  <si>
    <t>A[3] = 0.27411</t>
  </si>
  <si>
    <t>A[4] = -6.0754E-3</t>
  </si>
  <si>
    <t>R2 = 0.969</t>
  </si>
  <si>
    <t>CORE 7551</t>
  </si>
  <si>
    <t>75 N</t>
  </si>
  <si>
    <t>51 W</t>
  </si>
  <si>
    <t>~2200 m</t>
  </si>
  <si>
    <t xml:space="preserve">21.12 m </t>
  </si>
  <si>
    <t>A[0] = 336.2265</t>
  </si>
  <si>
    <t>A[1] = 27.1301</t>
  </si>
  <si>
    <t>A[2] = -1.1670</t>
  </si>
  <si>
    <t>A[3] = 0.0288</t>
  </si>
  <si>
    <t>A[4] = -0.280E-3</t>
  </si>
  <si>
    <t>R2 = 0.959</t>
  </si>
  <si>
    <t>CORE 7653-Core 1</t>
  </si>
  <si>
    <t>76.0 N</t>
  </si>
  <si>
    <t>53.0 W</t>
  </si>
  <si>
    <t>14.93 m</t>
  </si>
  <si>
    <t>Densities were measured</t>
  </si>
  <si>
    <t>CORE 7653-Core 2</t>
  </si>
  <si>
    <t>4.975 m</t>
  </si>
  <si>
    <t>N. Dye 3 (Saddle) - A</t>
  </si>
  <si>
    <t>66.0 N</t>
  </si>
  <si>
    <t>44.501 W</t>
  </si>
  <si>
    <t>2640 m</t>
  </si>
  <si>
    <t>18.66 m</t>
  </si>
  <si>
    <t xml:space="preserve">measured </t>
  </si>
  <si>
    <t xml:space="preserve">note this model is based </t>
  </si>
  <si>
    <t>in the field</t>
  </si>
  <si>
    <t>upon the combined density</t>
  </si>
  <si>
    <t>data for Cores A and B</t>
  </si>
  <si>
    <t>A[0] = 375.9858</t>
  </si>
  <si>
    <t>A[1] = 26.1637</t>
  </si>
  <si>
    <t>A[2] = -1.1191</t>
  </si>
  <si>
    <t>A[3] = 0.0211</t>
  </si>
  <si>
    <t xml:space="preserve">same model was used </t>
  </si>
  <si>
    <t>for core A and core B</t>
  </si>
  <si>
    <t>(mid-point)</t>
  </si>
  <si>
    <t>for both cores A and B</t>
  </si>
  <si>
    <t>S. TUNU Core A</t>
  </si>
  <si>
    <t>69.5 N</t>
  </si>
  <si>
    <t>34.5 W</t>
  </si>
  <si>
    <t>2650 m</t>
  </si>
  <si>
    <t>20.56 m</t>
  </si>
  <si>
    <t xml:space="preserve">OSU </t>
  </si>
  <si>
    <t>Core A</t>
  </si>
  <si>
    <t>measured</t>
  </si>
  <si>
    <t>data for Cores A, B &amp; C</t>
  </si>
  <si>
    <t>in lab</t>
  </si>
  <si>
    <t>A[0] = 291.9297</t>
  </si>
  <si>
    <t>A[1] = 64.8684</t>
  </si>
  <si>
    <t>A[2] = -7.4028</t>
  </si>
  <si>
    <t>A[3] = 0.4092</t>
  </si>
  <si>
    <t>A[4] = -0.8167E-3</t>
  </si>
  <si>
    <t>R2 = 0.9567</t>
  </si>
  <si>
    <t>for both cores A, B &amp; C</t>
  </si>
  <si>
    <t xml:space="preserve">meas in </t>
  </si>
  <si>
    <t xml:space="preserve">field </t>
  </si>
  <si>
    <t xml:space="preserve">in field </t>
  </si>
  <si>
    <t>Core B</t>
  </si>
  <si>
    <t>Core C</t>
  </si>
  <si>
    <t>S. TUNU Core B</t>
  </si>
  <si>
    <t>10.23 m</t>
  </si>
  <si>
    <t>S. TUNU Core C</t>
  </si>
  <si>
    <t>10.27 m</t>
  </si>
  <si>
    <t>S. Dome Core A</t>
  </si>
  <si>
    <t>63.149 N</t>
  </si>
  <si>
    <t>44.817 W</t>
  </si>
  <si>
    <t>2850 m</t>
  </si>
  <si>
    <t>24.57 m</t>
  </si>
  <si>
    <t>OSU</t>
  </si>
  <si>
    <t xml:space="preserve">in lab </t>
  </si>
  <si>
    <t>A[0] = 336.3562</t>
  </si>
  <si>
    <t>A[1] = 39.5274</t>
  </si>
  <si>
    <t>A[2] = -2.5338</t>
  </si>
  <si>
    <t>A[3] = 0.0824</t>
  </si>
  <si>
    <t>A[4] = -0.0010</t>
  </si>
  <si>
    <t>R2 = 0.9804</t>
  </si>
  <si>
    <t>S. Dome Core B</t>
  </si>
  <si>
    <t>15.305 m</t>
  </si>
  <si>
    <t>in field</t>
  </si>
  <si>
    <t>NASA East Core A</t>
  </si>
  <si>
    <t>75.0 N</t>
  </si>
  <si>
    <t>30.00 W</t>
  </si>
  <si>
    <t>2631 m</t>
  </si>
  <si>
    <t>20.19 m</t>
  </si>
  <si>
    <t>A[0] = 323.9988</t>
  </si>
  <si>
    <t>A[1] =21.8533</t>
  </si>
  <si>
    <t>A[2] = -0.2348</t>
  </si>
  <si>
    <t>A[3] = -9.558E-3</t>
  </si>
  <si>
    <t>R2 = 0.9823</t>
  </si>
  <si>
    <t>NASA East Core B</t>
  </si>
  <si>
    <t>10.81 m</t>
  </si>
  <si>
    <t>NASA-U site, Greenland (73°50' N, 49°30' W)</t>
  </si>
  <si>
    <t>Core 1</t>
  </si>
  <si>
    <t>Lgth (cm)</t>
  </si>
  <si>
    <t>Tube #</t>
  </si>
  <si>
    <t>Wt. (kg)</t>
  </si>
  <si>
    <t>Dia.(mm)</t>
  </si>
  <si>
    <t>Density</t>
  </si>
  <si>
    <t>some loss</t>
  </si>
  <si>
    <t>N/A</t>
  </si>
  <si>
    <t>Note: the format of the data is different from later cors</t>
  </si>
  <si>
    <t>Core 2</t>
  </si>
  <si>
    <t>Dia. (mm)</t>
  </si>
  <si>
    <t>Core 3</t>
  </si>
  <si>
    <t>length</t>
  </si>
  <si>
    <t>(cm)</t>
  </si>
  <si>
    <t>Mid-point</t>
  </si>
  <si>
    <t xml:space="preserve">Piece Length </t>
  </si>
  <si>
    <t>Core Diameter</t>
  </si>
  <si>
    <t xml:space="preserve">Piece Wt. </t>
  </si>
  <si>
    <t>density</t>
  </si>
  <si>
    <t>depth (m)</t>
  </si>
  <si>
    <t>cm</t>
  </si>
  <si>
    <t>bad peice</t>
  </si>
  <si>
    <t>GITS CORES 1996</t>
  </si>
  <si>
    <t xml:space="preserve">measured in the field </t>
  </si>
  <si>
    <t>Gits: Core 2</t>
  </si>
  <si>
    <t>Depth top</t>
  </si>
  <si>
    <t xml:space="preserve">Mid-point </t>
  </si>
  <si>
    <t>length of</t>
  </si>
  <si>
    <t>diameter</t>
  </si>
  <si>
    <t>(M)</t>
  </si>
  <si>
    <t>piece (cm)</t>
  </si>
  <si>
    <t>no den</t>
  </si>
  <si>
    <t>Density for pieces</t>
  </si>
  <si>
    <t>Core D1</t>
  </si>
  <si>
    <t>dep top</t>
  </si>
  <si>
    <t xml:space="preserve">depth at top of </t>
  </si>
  <si>
    <t>core section (m)</t>
  </si>
  <si>
    <t>Core D2</t>
  </si>
  <si>
    <t>no data</t>
  </si>
  <si>
    <t>Core D2-A</t>
  </si>
  <si>
    <t>Core D3</t>
  </si>
  <si>
    <t>Depth at mid-point (m)</t>
  </si>
  <si>
    <t>Density (kg/m3)</t>
  </si>
  <si>
    <t xml:space="preserve">mid-point </t>
  </si>
  <si>
    <t>Core D3-A</t>
  </si>
  <si>
    <t>Core D3-B</t>
  </si>
  <si>
    <t>Core name</t>
  </si>
  <si>
    <t>Jav2</t>
  </si>
  <si>
    <t>OSU density data</t>
  </si>
  <si>
    <t>dep center</t>
  </si>
  <si>
    <t>length cm</t>
  </si>
  <si>
    <t>diam cm</t>
  </si>
  <si>
    <t>mass kg</t>
  </si>
  <si>
    <t>volume</t>
  </si>
  <si>
    <t>Mosley-Thompson</t>
  </si>
  <si>
    <t>These are the 1999 cores (longer cores)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</si>
</sst>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_)"/>
    <numFmt numFmtId="165" formatCode="0.0_)"/>
    <numFmt numFmtId="166" formatCode="0.00_)"/>
    <numFmt numFmtId="167" formatCode="0.0000_)"/>
    <numFmt numFmtId="168" formatCode="0.000"/>
    <numFmt numFmtId="169" formatCode="0.0"/>
    <numFmt numFmtId="170" formatCode="&quot;$&quot;#,##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 applyProtection="1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0" fontId="1" fillId="0" borderId="0" xfId="0" applyFont="1"/>
    <xf numFmtId="0" fontId="4" fillId="0" borderId="0" xfId="0" applyFont="1"/>
    <xf numFmtId="0" fontId="5" fillId="0" borderId="0" xfId="0" applyFont="1" applyProtection="1"/>
    <xf numFmtId="0" fontId="6" fillId="0" borderId="0" xfId="0" applyFont="1" applyProtection="1"/>
    <xf numFmtId="0" fontId="6" fillId="0" borderId="0" xfId="0" applyFont="1" applyAlignment="1" applyProtection="1">
      <alignment horizontal="center"/>
    </xf>
    <xf numFmtId="164" fontId="6" fillId="0" borderId="0" xfId="0" applyNumberFormat="1" applyFont="1" applyProtection="1"/>
    <xf numFmtId="164" fontId="6" fillId="0" borderId="0" xfId="0" applyNumberFormat="1" applyFont="1" applyAlignment="1" applyProtection="1">
      <alignment horizontal="right"/>
    </xf>
    <xf numFmtId="165" fontId="6" fillId="0" borderId="0" xfId="0" applyNumberFormat="1" applyFont="1" applyProtection="1"/>
    <xf numFmtId="166" fontId="6" fillId="0" borderId="0" xfId="0" applyNumberFormat="1" applyFont="1" applyProtection="1"/>
    <xf numFmtId="167" fontId="6" fillId="0" borderId="0" xfId="0" applyNumberFormat="1" applyFont="1" applyProtection="1"/>
    <xf numFmtId="167" fontId="6" fillId="0" borderId="0" xfId="0" applyNumberFormat="1" applyFont="1" applyAlignment="1" applyProtection="1">
      <alignment horizontal="right"/>
    </xf>
    <xf numFmtId="0" fontId="6" fillId="0" borderId="0" xfId="0" applyNumberFormat="1" applyFont="1" applyAlignment="1"/>
    <xf numFmtId="0" fontId="5" fillId="0" borderId="0" xfId="0" applyNumberFormat="1" applyFont="1" applyAlignment="1"/>
    <xf numFmtId="0" fontId="6" fillId="0" borderId="0" xfId="0" applyNumberFormat="1" applyFont="1" applyAlignment="1">
      <alignment horizontal="center"/>
    </xf>
    <xf numFmtId="168" fontId="6" fillId="0" borderId="0" xfId="0" applyNumberFormat="1" applyFont="1"/>
    <xf numFmtId="168" fontId="6" fillId="0" borderId="0" xfId="0" applyNumberFormat="1" applyFont="1" applyAlignment="1"/>
    <xf numFmtId="169" fontId="6" fillId="0" borderId="0" xfId="0" applyNumberFormat="1" applyFont="1"/>
    <xf numFmtId="169" fontId="6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right" wrapText="1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right" wrapText="1"/>
    </xf>
    <xf numFmtId="0" fontId="11" fillId="0" borderId="0" xfId="0" applyFont="1"/>
    <xf numFmtId="168" fontId="11" fillId="0" borderId="0" xfId="0" applyNumberFormat="1" applyFont="1"/>
    <xf numFmtId="168" fontId="10" fillId="2" borderId="0" xfId="0" applyNumberFormat="1" applyFont="1" applyFill="1" applyAlignment="1">
      <alignment horizontal="left" wrapText="1"/>
    </xf>
    <xf numFmtId="168" fontId="10" fillId="2" borderId="0" xfId="0" applyNumberFormat="1" applyFont="1" applyFill="1" applyAlignment="1">
      <alignment horizontal="right" wrapText="1"/>
    </xf>
    <xf numFmtId="168" fontId="0" fillId="0" borderId="0" xfId="0" applyNumberFormat="1"/>
    <xf numFmtId="2" fontId="11" fillId="0" borderId="0" xfId="0" applyNumberFormat="1" applyFont="1"/>
    <xf numFmtId="2" fontId="10" fillId="2" borderId="0" xfId="0" applyNumberFormat="1" applyFont="1" applyFill="1" applyAlignment="1">
      <alignment horizontal="right" wrapText="1"/>
    </xf>
    <xf numFmtId="2" fontId="0" fillId="0" borderId="0" xfId="0" applyNumberFormat="1"/>
    <xf numFmtId="0" fontId="8" fillId="2" borderId="0" xfId="0" applyFont="1" applyFill="1" applyAlignment="1">
      <alignment horizontal="right" wrapText="1"/>
    </xf>
    <xf numFmtId="0" fontId="9" fillId="2" borderId="0" xfId="0" applyFont="1" applyFill="1" applyAlignment="1">
      <alignment horizontal="left" wrapText="1"/>
    </xf>
    <xf numFmtId="170" fontId="12" fillId="0" borderId="0" xfId="0" applyNumberFormat="1" applyFont="1"/>
    <xf numFmtId="170" fontId="9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left" wrapText="1"/>
    </xf>
    <xf numFmtId="170" fontId="10" fillId="2" borderId="0" xfId="0" applyNumberFormat="1" applyFont="1" applyFill="1" applyAlignment="1">
      <alignment horizontal="right" wrapText="1"/>
    </xf>
    <xf numFmtId="170" fontId="10" fillId="2" borderId="0" xfId="0" applyNumberFormat="1" applyFont="1" applyFill="1" applyAlignment="1">
      <alignment horizontal="center" wrapText="1"/>
    </xf>
    <xf numFmtId="170" fontId="11" fillId="0" borderId="0" xfId="0" applyNumberFormat="1" applyFont="1"/>
    <xf numFmtId="170" fontId="0" fillId="0" borderId="0" xfId="0" applyNumberFormat="1"/>
    <xf numFmtId="168" fontId="10" fillId="2" borderId="0" xfId="0" applyNumberFormat="1" applyFont="1" applyFill="1" applyAlignment="1">
      <alignment horizontal="center" wrapText="1"/>
    </xf>
    <xf numFmtId="2" fontId="10" fillId="2" borderId="0" xfId="0" applyNumberFormat="1" applyFont="1" applyFill="1" applyAlignment="1">
      <alignment horizontal="center" wrapText="1"/>
    </xf>
    <xf numFmtId="168" fontId="1" fillId="0" borderId="0" xfId="0" applyNumberFormat="1" applyFont="1"/>
    <xf numFmtId="168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164" fontId="6" fillId="0" borderId="0" xfId="0" applyNumberFormat="1" applyFont="1" applyFill="1" applyProtection="1"/>
    <xf numFmtId="0" fontId="8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7"/>
  <sheetViews>
    <sheetView workbookViewId="0">
      <selection activeCell="G1" sqref="G1"/>
    </sheetView>
  </sheetViews>
  <sheetFormatPr baseColWidth="10" defaultColWidth="8.83203125" defaultRowHeight="14" x14ac:dyDescent="0"/>
  <cols>
    <col min="1" max="1" width="10.83203125" customWidth="1"/>
    <col min="2" max="2" width="12.1640625" customWidth="1"/>
    <col min="3" max="3" width="10.6640625" customWidth="1"/>
    <col min="6" max="6" width="35.83203125" customWidth="1"/>
  </cols>
  <sheetData>
    <row r="1" spans="1:13" ht="18">
      <c r="A1" s="6" t="s">
        <v>267</v>
      </c>
      <c r="G1" s="5" t="s">
        <v>276</v>
      </c>
    </row>
    <row r="2" spans="1:13" ht="18">
      <c r="A2" s="6"/>
      <c r="G2" s="5"/>
    </row>
    <row r="3" spans="1:13" ht="38.25" customHeight="1">
      <c r="A3" s="53" t="s">
        <v>267</v>
      </c>
      <c r="B3" s="53"/>
      <c r="C3" s="53"/>
      <c r="D3" s="53"/>
      <c r="E3" s="53"/>
      <c r="F3" s="53" t="s">
        <v>267</v>
      </c>
      <c r="G3" s="53"/>
      <c r="I3" s="53" t="s">
        <v>267</v>
      </c>
      <c r="J3" s="53"/>
      <c r="K3" s="53"/>
      <c r="L3" s="53"/>
      <c r="M3" s="53"/>
    </row>
    <row r="4" spans="1:13">
      <c r="A4" s="23" t="s">
        <v>268</v>
      </c>
      <c r="B4" s="25"/>
      <c r="C4" s="25"/>
      <c r="D4" s="25"/>
      <c r="E4" s="25"/>
      <c r="F4" s="23" t="s">
        <v>277</v>
      </c>
      <c r="G4" s="5"/>
      <c r="I4" s="23" t="s">
        <v>279</v>
      </c>
      <c r="J4" s="37"/>
      <c r="K4" s="37"/>
      <c r="L4" s="37"/>
      <c r="M4" s="37"/>
    </row>
    <row r="5" spans="1:13">
      <c r="A5" s="25"/>
      <c r="B5" s="24" t="s">
        <v>269</v>
      </c>
      <c r="C5" s="54"/>
      <c r="D5" s="54"/>
      <c r="E5" s="54"/>
      <c r="F5" s="25" t="s">
        <v>270</v>
      </c>
      <c r="G5" s="25" t="s">
        <v>269</v>
      </c>
      <c r="I5" s="25"/>
      <c r="J5" s="24" t="s">
        <v>280</v>
      </c>
    </row>
    <row r="6" spans="1:13">
      <c r="A6" s="24" t="s">
        <v>270</v>
      </c>
      <c r="B6" s="24" t="s">
        <v>271</v>
      </c>
      <c r="C6" s="24"/>
      <c r="D6" s="24"/>
      <c r="E6" s="24"/>
      <c r="F6" s="25" t="s">
        <v>278</v>
      </c>
      <c r="G6" s="25" t="s">
        <v>271</v>
      </c>
      <c r="I6" s="24" t="s">
        <v>270</v>
      </c>
      <c r="J6" s="24" t="s">
        <v>281</v>
      </c>
    </row>
    <row r="7" spans="1:13">
      <c r="A7" s="24" t="s">
        <v>272</v>
      </c>
      <c r="B7" s="24" t="s">
        <v>273</v>
      </c>
      <c r="C7" s="25"/>
      <c r="D7" s="25"/>
      <c r="E7" s="24"/>
      <c r="F7" s="25"/>
      <c r="G7" s="25" t="s">
        <v>273</v>
      </c>
      <c r="I7" s="25"/>
      <c r="J7" s="25" t="s">
        <v>280</v>
      </c>
    </row>
    <row r="8" spans="1:13">
      <c r="A8" s="25">
        <v>1</v>
      </c>
      <c r="B8" s="25">
        <v>98</v>
      </c>
      <c r="C8" s="25"/>
      <c r="D8" s="25"/>
      <c r="E8" s="24"/>
      <c r="F8" s="25">
        <v>1</v>
      </c>
      <c r="G8" s="25">
        <v>103.5</v>
      </c>
      <c r="I8" s="25" t="s">
        <v>270</v>
      </c>
      <c r="J8" s="25" t="s">
        <v>281</v>
      </c>
    </row>
    <row r="9" spans="1:13">
      <c r="A9" s="25">
        <v>96.77</v>
      </c>
      <c r="B9" s="25">
        <v>2.83</v>
      </c>
      <c r="C9" s="25"/>
      <c r="D9" s="25"/>
      <c r="E9" s="24"/>
      <c r="F9" s="25">
        <v>91.84</v>
      </c>
      <c r="G9" s="25">
        <v>2.347</v>
      </c>
      <c r="I9" s="25">
        <v>1</v>
      </c>
      <c r="J9" s="25">
        <v>100</v>
      </c>
    </row>
    <row r="10" spans="1:13">
      <c r="A10" s="25"/>
      <c r="B10" s="25">
        <f>100000*B9/((((A9/2)^2)*3.1415926)*B8)</f>
        <v>0.39263499385516532</v>
      </c>
      <c r="C10" s="25"/>
      <c r="D10" s="25"/>
      <c r="E10" s="24"/>
      <c r="F10" s="25"/>
      <c r="G10" s="25">
        <v>0.34200000000000003</v>
      </c>
      <c r="I10" s="25">
        <v>91.7</v>
      </c>
      <c r="J10" s="25">
        <v>2.3959999999999999</v>
      </c>
    </row>
    <row r="11" spans="1:13">
      <c r="A11" s="25"/>
      <c r="B11" s="25"/>
      <c r="C11" s="25"/>
      <c r="D11" s="25"/>
      <c r="E11" s="24"/>
      <c r="F11" s="25">
        <v>2</v>
      </c>
      <c r="G11" s="25">
        <v>100.5</v>
      </c>
      <c r="I11" s="25"/>
      <c r="J11" s="25">
        <v>0.36299999999999999</v>
      </c>
    </row>
    <row r="12" spans="1:13">
      <c r="A12" s="25"/>
      <c r="B12" s="25"/>
      <c r="C12" s="25"/>
      <c r="D12" s="25"/>
      <c r="E12" s="24"/>
      <c r="F12" s="25">
        <v>94.28</v>
      </c>
      <c r="G12" s="25">
        <v>2.6259999999999999</v>
      </c>
      <c r="I12" s="25"/>
      <c r="J12" s="25"/>
    </row>
    <row r="13" spans="1:13">
      <c r="A13" s="25"/>
      <c r="B13" s="25"/>
      <c r="C13" s="25"/>
      <c r="D13" s="25"/>
      <c r="E13" s="24"/>
      <c r="F13" s="25"/>
      <c r="G13" s="25">
        <v>0.374</v>
      </c>
      <c r="I13" s="25"/>
      <c r="J13" s="25"/>
    </row>
    <row r="14" spans="1:13">
      <c r="A14" s="25">
        <v>2</v>
      </c>
      <c r="B14" s="25">
        <v>100</v>
      </c>
      <c r="C14" s="25"/>
      <c r="D14" s="25"/>
      <c r="E14" s="24"/>
      <c r="F14" s="25">
        <v>3</v>
      </c>
      <c r="G14" s="25">
        <v>102.5</v>
      </c>
      <c r="I14" s="25"/>
      <c r="J14" s="25"/>
    </row>
    <row r="15" spans="1:13">
      <c r="A15" s="25">
        <v>101.87</v>
      </c>
      <c r="B15" s="25">
        <v>3.5110000000000001</v>
      </c>
      <c r="C15" s="25"/>
      <c r="D15" s="25"/>
      <c r="E15" s="24"/>
      <c r="F15" s="25">
        <v>98.05</v>
      </c>
      <c r="G15" s="25">
        <v>3.2629999999999999</v>
      </c>
      <c r="I15" s="25"/>
      <c r="J15" s="25"/>
    </row>
    <row r="16" spans="1:13">
      <c r="A16" s="25"/>
      <c r="B16" s="25">
        <f>100000*B15/((((A15/2)^2)*3.1415926)*B14)</f>
        <v>0.43077286949813548</v>
      </c>
      <c r="C16" s="25"/>
      <c r="D16" s="25"/>
      <c r="E16" s="24"/>
      <c r="F16" s="25"/>
      <c r="G16" s="25">
        <v>0.42199999999999999</v>
      </c>
      <c r="I16" s="25"/>
      <c r="J16" s="25"/>
    </row>
    <row r="17" spans="1:10">
      <c r="A17" s="25"/>
      <c r="B17" s="25"/>
      <c r="C17" s="25"/>
      <c r="D17" s="25"/>
      <c r="E17" s="24"/>
      <c r="F17" s="25"/>
      <c r="G17" s="25"/>
      <c r="I17" s="25"/>
      <c r="J17" s="25"/>
    </row>
    <row r="18" spans="1:10">
      <c r="A18" s="25"/>
      <c r="B18" s="25"/>
      <c r="C18" s="25"/>
      <c r="D18" s="25"/>
      <c r="E18" s="24"/>
      <c r="F18" s="25"/>
      <c r="G18" s="25"/>
      <c r="I18" s="25"/>
      <c r="J18" s="25"/>
    </row>
    <row r="19" spans="1:10">
      <c r="A19" s="25"/>
      <c r="B19" s="25"/>
      <c r="C19" s="25"/>
      <c r="D19" s="25"/>
      <c r="E19" s="24"/>
      <c r="F19" s="25"/>
      <c r="G19" s="25"/>
      <c r="I19" s="25">
        <v>2</v>
      </c>
      <c r="J19" s="25">
        <v>99</v>
      </c>
    </row>
    <row r="20" spans="1:10">
      <c r="A20" s="25"/>
      <c r="B20" s="25"/>
      <c r="C20" s="25"/>
      <c r="D20" s="25"/>
      <c r="E20" s="24"/>
      <c r="F20" s="25"/>
      <c r="G20" s="25"/>
      <c r="I20" s="25">
        <v>95.45</v>
      </c>
      <c r="J20" s="25">
        <v>2.952</v>
      </c>
    </row>
    <row r="21" spans="1:10">
      <c r="A21" s="25"/>
      <c r="B21" s="25"/>
      <c r="C21" s="25"/>
      <c r="D21" s="25"/>
      <c r="E21" s="24"/>
      <c r="F21" s="25"/>
      <c r="G21" s="25"/>
      <c r="I21" s="25"/>
      <c r="J21" s="25">
        <v>0.41699999999999998</v>
      </c>
    </row>
    <row r="22" spans="1:10">
      <c r="A22" s="25"/>
      <c r="B22" s="25"/>
      <c r="C22" s="25"/>
      <c r="D22" s="25"/>
      <c r="E22" s="24"/>
      <c r="F22" s="25"/>
      <c r="G22" s="25"/>
      <c r="I22" s="25"/>
      <c r="J22" s="25"/>
    </row>
    <row r="23" spans="1:10">
      <c r="A23" s="25">
        <v>3</v>
      </c>
      <c r="B23" s="25">
        <v>92.5</v>
      </c>
      <c r="C23" s="25"/>
      <c r="D23" s="25"/>
      <c r="E23" s="24"/>
      <c r="F23" s="25">
        <v>4</v>
      </c>
      <c r="G23" s="25">
        <v>98.5</v>
      </c>
      <c r="I23" s="25"/>
      <c r="J23" s="25"/>
    </row>
    <row r="24" spans="1:10">
      <c r="A24" s="25">
        <v>100.65</v>
      </c>
      <c r="B24" s="25">
        <v>3.0630000000000002</v>
      </c>
      <c r="C24" s="25"/>
      <c r="D24" s="25"/>
      <c r="E24" s="24"/>
      <c r="F24" s="25">
        <v>97.11</v>
      </c>
      <c r="G24" s="25">
        <v>3.2229999999999999</v>
      </c>
      <c r="I24" s="25"/>
      <c r="J24" s="25"/>
    </row>
    <row r="25" spans="1:10">
      <c r="A25" s="25"/>
      <c r="B25" s="25">
        <f>100000*B24/((((A24/2)^2)*3.1415926)*B23)</f>
        <v>0.41618634948072658</v>
      </c>
      <c r="C25" s="25"/>
      <c r="D25" s="25"/>
      <c r="E25" s="24"/>
      <c r="F25" s="25"/>
      <c r="G25" s="25">
        <v>0.442</v>
      </c>
      <c r="I25" s="25"/>
      <c r="J25" s="25"/>
    </row>
    <row r="26" spans="1:10">
      <c r="A26" s="25"/>
      <c r="B26" s="25"/>
      <c r="C26" s="25"/>
      <c r="D26" s="25"/>
      <c r="E26" s="24"/>
      <c r="F26" s="25"/>
      <c r="G26" s="25"/>
      <c r="I26" s="25"/>
      <c r="J26" s="25"/>
    </row>
    <row r="27" spans="1:10">
      <c r="A27" s="25"/>
      <c r="B27" s="25"/>
      <c r="C27" s="25"/>
      <c r="D27" s="25"/>
      <c r="E27" s="24"/>
      <c r="F27" s="25"/>
      <c r="G27" s="25"/>
      <c r="I27" s="25"/>
      <c r="J27" s="25"/>
    </row>
    <row r="28" spans="1:10">
      <c r="A28" s="25"/>
      <c r="B28" s="25"/>
      <c r="C28" s="25"/>
      <c r="D28" s="25"/>
      <c r="E28" s="24"/>
      <c r="F28" s="25"/>
      <c r="G28" s="25"/>
      <c r="I28" s="25"/>
      <c r="J28" s="25"/>
    </row>
    <row r="29" spans="1:10">
      <c r="A29" s="25"/>
      <c r="B29" s="25"/>
      <c r="C29" s="25"/>
      <c r="D29" s="25"/>
      <c r="E29" s="24"/>
      <c r="F29" s="25"/>
      <c r="G29" s="25"/>
      <c r="I29" s="25"/>
      <c r="J29" s="25"/>
    </row>
    <row r="30" spans="1:10">
      <c r="A30" s="25"/>
      <c r="B30" s="25"/>
      <c r="C30" s="25"/>
      <c r="D30" s="25"/>
      <c r="E30" s="24"/>
      <c r="F30" s="25"/>
      <c r="G30" s="25"/>
      <c r="I30" s="25"/>
      <c r="J30" s="25"/>
    </row>
    <row r="31" spans="1:10">
      <c r="A31" s="25"/>
      <c r="B31" s="25"/>
      <c r="C31" s="25"/>
      <c r="D31" s="25"/>
      <c r="E31" s="24"/>
      <c r="F31" s="25"/>
      <c r="G31" s="25"/>
      <c r="I31" s="25"/>
      <c r="J31" s="25"/>
    </row>
    <row r="32" spans="1:10">
      <c r="A32" s="25"/>
      <c r="B32" s="25"/>
      <c r="C32" s="25"/>
      <c r="D32" s="25"/>
      <c r="E32" s="24"/>
      <c r="F32" s="25"/>
      <c r="G32" s="25"/>
      <c r="I32" s="25">
        <v>3</v>
      </c>
      <c r="J32" s="25">
        <v>99.5</v>
      </c>
    </row>
    <row r="33" spans="1:10">
      <c r="A33" s="25"/>
      <c r="B33" s="25"/>
      <c r="C33" s="25"/>
      <c r="D33" s="25"/>
      <c r="E33" s="24"/>
      <c r="F33" s="25"/>
      <c r="G33" s="25"/>
      <c r="I33" s="25">
        <v>98.17</v>
      </c>
      <c r="J33" s="25">
        <v>3.2839999999999998</v>
      </c>
    </row>
    <row r="34" spans="1:10">
      <c r="A34" s="25"/>
      <c r="B34" s="25"/>
      <c r="C34" s="25"/>
      <c r="D34" s="25"/>
      <c r="E34" s="24"/>
      <c r="F34" s="25"/>
      <c r="G34" s="25"/>
      <c r="I34" s="25"/>
      <c r="J34" s="25">
        <v>0.436</v>
      </c>
    </row>
    <row r="35" spans="1:10">
      <c r="A35" s="25"/>
      <c r="B35" s="25"/>
      <c r="C35" s="25"/>
      <c r="D35" s="25"/>
      <c r="E35" s="24"/>
      <c r="F35" s="25">
        <v>5</v>
      </c>
      <c r="G35" s="25">
        <v>100.5</v>
      </c>
      <c r="I35" s="25"/>
      <c r="J35" s="25"/>
    </row>
    <row r="36" spans="1:10">
      <c r="A36" s="25"/>
      <c r="B36" s="25"/>
      <c r="C36" s="25"/>
      <c r="D36" s="25"/>
      <c r="E36" s="24"/>
      <c r="F36" s="25">
        <v>96.8</v>
      </c>
      <c r="G36" s="25">
        <v>3.2429999999999999</v>
      </c>
      <c r="I36" s="25"/>
      <c r="J36" s="25"/>
    </row>
    <row r="37" spans="1:10">
      <c r="A37" s="25"/>
      <c r="B37" s="25"/>
      <c r="C37" s="25"/>
      <c r="D37" s="25"/>
      <c r="E37" s="24"/>
      <c r="F37" s="25"/>
      <c r="G37" s="25">
        <v>0.438</v>
      </c>
      <c r="I37" s="25"/>
      <c r="J37" s="25"/>
    </row>
    <row r="38" spans="1:10">
      <c r="A38" s="25"/>
      <c r="B38" s="25"/>
      <c r="C38" s="25"/>
      <c r="D38" s="25"/>
      <c r="E38" s="24"/>
      <c r="F38" s="25"/>
      <c r="G38" s="25"/>
      <c r="I38" s="25"/>
      <c r="J38" s="25"/>
    </row>
    <row r="39" spans="1:10">
      <c r="A39" s="25"/>
      <c r="B39" s="25"/>
      <c r="C39" s="25"/>
      <c r="D39" s="25"/>
      <c r="E39" s="24"/>
      <c r="F39" s="25"/>
      <c r="G39" s="25"/>
      <c r="I39" s="25"/>
      <c r="J39" s="25"/>
    </row>
    <row r="40" spans="1:10">
      <c r="A40" s="25"/>
      <c r="B40" s="25"/>
      <c r="C40" s="25"/>
      <c r="D40" s="25"/>
      <c r="E40" s="24"/>
      <c r="F40" s="25"/>
      <c r="G40" s="25"/>
      <c r="I40" s="25"/>
      <c r="J40" s="25"/>
    </row>
    <row r="41" spans="1:10">
      <c r="A41" s="25">
        <v>4</v>
      </c>
      <c r="B41" s="25">
        <v>100.5</v>
      </c>
      <c r="C41" s="25"/>
      <c r="D41" s="25"/>
      <c r="E41" s="24"/>
      <c r="F41" s="25"/>
      <c r="G41" s="25"/>
      <c r="I41" s="25"/>
      <c r="J41" s="25"/>
    </row>
    <row r="42" spans="1:10">
      <c r="A42" s="25">
        <v>99.79</v>
      </c>
      <c r="B42" s="25">
        <v>3.589</v>
      </c>
      <c r="C42" s="25"/>
      <c r="D42" s="25"/>
      <c r="E42" s="24"/>
      <c r="F42" s="25">
        <v>6</v>
      </c>
      <c r="G42" s="25">
        <v>99</v>
      </c>
      <c r="I42" s="25"/>
      <c r="J42" s="25"/>
    </row>
    <row r="43" spans="1:10">
      <c r="A43" s="25"/>
      <c r="B43" s="25">
        <f>100000*B42/((((A42/2)^2)*3.1415926)*B41)</f>
        <v>0.45660795909100699</v>
      </c>
      <c r="C43" s="25"/>
      <c r="D43" s="25"/>
      <c r="E43" s="24"/>
      <c r="F43" s="25">
        <v>98.91</v>
      </c>
      <c r="G43" s="25">
        <v>3.512</v>
      </c>
      <c r="I43" s="25"/>
      <c r="J43" s="25"/>
    </row>
    <row r="44" spans="1:10">
      <c r="A44" s="25"/>
      <c r="B44" s="25"/>
      <c r="C44" s="25"/>
      <c r="D44" s="25"/>
      <c r="E44" s="24"/>
      <c r="F44" s="25"/>
      <c r="G44" s="25">
        <v>0.46200000000000002</v>
      </c>
      <c r="I44" s="25">
        <v>4</v>
      </c>
      <c r="J44" s="25">
        <v>100.5</v>
      </c>
    </row>
    <row r="45" spans="1:10">
      <c r="A45" s="25"/>
      <c r="B45" s="25"/>
      <c r="C45" s="25"/>
      <c r="D45" s="25"/>
      <c r="E45" s="24"/>
      <c r="F45" s="25"/>
      <c r="G45" s="25"/>
      <c r="I45" s="25">
        <v>100.23</v>
      </c>
      <c r="J45" s="25">
        <v>3.3719999999999999</v>
      </c>
    </row>
    <row r="46" spans="1:10">
      <c r="A46" s="25"/>
      <c r="B46" s="25"/>
      <c r="C46" s="25"/>
      <c r="D46" s="25"/>
      <c r="E46" s="24"/>
      <c r="F46" s="25"/>
      <c r="G46" s="25"/>
      <c r="I46" s="25"/>
      <c r="J46" s="25">
        <v>0.42499999999999999</v>
      </c>
    </row>
    <row r="47" spans="1:10">
      <c r="A47" s="25"/>
      <c r="B47" s="25"/>
      <c r="C47" s="25"/>
      <c r="D47" s="25"/>
      <c r="E47" s="24"/>
      <c r="F47" s="25"/>
      <c r="G47" s="25"/>
      <c r="I47" s="25"/>
      <c r="J47" s="25"/>
    </row>
    <row r="48" spans="1:10">
      <c r="A48" s="25"/>
      <c r="B48" s="25"/>
      <c r="C48" s="25"/>
      <c r="D48" s="25"/>
      <c r="E48" s="24"/>
      <c r="F48" s="25"/>
      <c r="G48" s="25"/>
      <c r="I48" s="25"/>
      <c r="J48" s="25"/>
    </row>
    <row r="49" spans="1:10">
      <c r="A49" s="25"/>
      <c r="B49" s="25"/>
      <c r="C49" s="25"/>
      <c r="D49" s="25"/>
      <c r="E49" s="24"/>
      <c r="F49" s="25"/>
      <c r="G49" s="25"/>
      <c r="I49" s="25"/>
      <c r="J49" s="25"/>
    </row>
    <row r="50" spans="1:10">
      <c r="A50" s="25"/>
      <c r="B50" s="25"/>
      <c r="C50" s="25"/>
      <c r="D50" s="25"/>
      <c r="E50" s="24"/>
      <c r="F50" s="25"/>
      <c r="G50" s="25"/>
      <c r="I50" s="25"/>
      <c r="J50" s="25"/>
    </row>
    <row r="51" spans="1:10">
      <c r="A51" s="25"/>
      <c r="B51" s="25"/>
      <c r="C51" s="25"/>
      <c r="D51" s="25"/>
      <c r="E51" s="24"/>
      <c r="F51" s="25"/>
      <c r="G51" s="25"/>
      <c r="I51" s="25"/>
      <c r="J51" s="25"/>
    </row>
    <row r="52" spans="1:10">
      <c r="A52" s="25"/>
      <c r="B52" s="25"/>
      <c r="C52" s="25"/>
      <c r="D52" s="25"/>
      <c r="E52" s="24"/>
      <c r="F52" s="25"/>
      <c r="G52" s="25"/>
      <c r="I52" s="25"/>
      <c r="J52" s="25"/>
    </row>
    <row r="53" spans="1:10">
      <c r="A53" s="25"/>
      <c r="B53" s="25"/>
      <c r="C53" s="25"/>
      <c r="D53" s="25"/>
      <c r="E53" s="24"/>
      <c r="F53" s="25"/>
      <c r="G53" s="25"/>
      <c r="I53" s="25"/>
      <c r="J53" s="25"/>
    </row>
    <row r="54" spans="1:10">
      <c r="A54" s="25">
        <v>5</v>
      </c>
      <c r="B54" s="25">
        <v>95.5</v>
      </c>
      <c r="C54" s="25"/>
      <c r="D54" s="25"/>
      <c r="E54" s="24"/>
      <c r="F54" s="25"/>
      <c r="G54" s="25"/>
      <c r="I54" s="25"/>
      <c r="J54" s="25"/>
    </row>
    <row r="55" spans="1:10">
      <c r="A55" s="25">
        <v>100.36</v>
      </c>
      <c r="B55" s="25">
        <v>3.42</v>
      </c>
      <c r="C55" s="25"/>
      <c r="D55" s="25"/>
      <c r="E55" s="24"/>
      <c r="F55" s="25"/>
      <c r="G55" s="25"/>
      <c r="I55" s="25"/>
      <c r="J55" s="25"/>
    </row>
    <row r="56" spans="1:10">
      <c r="A56" s="25"/>
      <c r="B56" s="25">
        <f>100000*B55/((((A55/2)^2)*3.1415926)*B54)</f>
        <v>0.45270110568963329</v>
      </c>
      <c r="C56" s="25"/>
      <c r="D56" s="25"/>
      <c r="E56" s="24"/>
      <c r="F56" s="25"/>
      <c r="G56" s="25"/>
      <c r="I56" s="25"/>
      <c r="J56" s="25"/>
    </row>
    <row r="57" spans="1:10">
      <c r="A57" s="25"/>
      <c r="B57" s="25"/>
      <c r="C57" s="25"/>
      <c r="D57" s="25"/>
      <c r="E57" s="24"/>
      <c r="F57" s="25"/>
      <c r="G57" s="25"/>
      <c r="I57" s="25"/>
      <c r="J57" s="25"/>
    </row>
    <row r="58" spans="1:10">
      <c r="A58" s="25"/>
      <c r="B58" s="25"/>
      <c r="C58" s="25"/>
      <c r="D58" s="25"/>
      <c r="E58" s="24"/>
      <c r="F58" s="25"/>
      <c r="G58" s="25"/>
      <c r="I58" s="25"/>
      <c r="J58" s="25"/>
    </row>
    <row r="59" spans="1:10">
      <c r="A59" s="25"/>
      <c r="B59" s="25"/>
      <c r="C59" s="25"/>
      <c r="D59" s="25"/>
      <c r="E59" s="24"/>
      <c r="F59" s="25"/>
      <c r="G59" s="25"/>
      <c r="I59" s="25"/>
      <c r="J59" s="25"/>
    </row>
    <row r="60" spans="1:10">
      <c r="A60" s="25"/>
      <c r="B60" s="25"/>
      <c r="C60" s="25"/>
      <c r="D60" s="25"/>
      <c r="E60" s="24"/>
      <c r="F60" s="25"/>
      <c r="G60" s="25"/>
      <c r="I60" s="25"/>
      <c r="J60" s="25"/>
    </row>
    <row r="61" spans="1:10">
      <c r="A61" s="25"/>
      <c r="B61" s="25"/>
      <c r="C61" s="25"/>
      <c r="D61" s="25"/>
      <c r="E61" s="24"/>
      <c r="F61" s="25"/>
      <c r="G61" s="25"/>
      <c r="I61" s="25"/>
      <c r="J61" s="25"/>
    </row>
    <row r="62" spans="1:10">
      <c r="A62" s="25"/>
      <c r="B62" s="25"/>
      <c r="C62" s="25"/>
      <c r="D62" s="25"/>
      <c r="E62" s="24"/>
      <c r="F62" s="25"/>
      <c r="G62" s="25"/>
      <c r="I62" s="25">
        <v>5</v>
      </c>
      <c r="J62" s="25">
        <v>100</v>
      </c>
    </row>
    <row r="63" spans="1:10">
      <c r="A63" s="25"/>
      <c r="B63" s="25"/>
      <c r="C63" s="25"/>
      <c r="D63" s="25"/>
      <c r="E63" s="24"/>
      <c r="F63" s="25"/>
      <c r="G63" s="25"/>
      <c r="I63" s="25">
        <v>99.38</v>
      </c>
      <c r="J63" s="25">
        <v>3.5259999999999998</v>
      </c>
    </row>
    <row r="64" spans="1:10">
      <c r="A64" s="25"/>
      <c r="B64" s="25"/>
      <c r="C64" s="25"/>
      <c r="D64" s="25"/>
      <c r="E64" s="24"/>
      <c r="F64" s="25"/>
      <c r="G64" s="25"/>
      <c r="I64" s="25"/>
      <c r="J64" s="25">
        <v>0.45500000000000002</v>
      </c>
    </row>
    <row r="65" spans="1:10">
      <c r="A65" s="25"/>
      <c r="B65" s="25"/>
      <c r="C65" s="25"/>
      <c r="D65" s="25"/>
      <c r="E65" s="24"/>
      <c r="F65" s="25"/>
      <c r="G65" s="25"/>
      <c r="I65" s="25"/>
      <c r="J65" s="25"/>
    </row>
    <row r="66" spans="1:10">
      <c r="A66" s="25">
        <v>6</v>
      </c>
      <c r="B66" s="25">
        <v>101.5</v>
      </c>
      <c r="C66" s="25"/>
      <c r="D66" s="25"/>
      <c r="E66" s="24"/>
      <c r="F66" s="25">
        <v>7</v>
      </c>
      <c r="G66" s="25">
        <v>100</v>
      </c>
      <c r="I66" s="25"/>
      <c r="J66" s="25"/>
    </row>
    <row r="67" spans="1:10">
      <c r="A67" s="25">
        <f>(21/101.5)*95.3+(80.5/101.5)*101.12</f>
        <v>99.915862068965509</v>
      </c>
      <c r="B67" s="25">
        <v>3.9020000000000001</v>
      </c>
      <c r="C67" s="25"/>
      <c r="D67" s="25"/>
      <c r="E67" s="24"/>
      <c r="F67" s="25">
        <v>101.01</v>
      </c>
      <c r="G67" s="25">
        <v>3.74</v>
      </c>
      <c r="I67" s="25"/>
      <c r="J67" s="25"/>
    </row>
    <row r="68" spans="1:10">
      <c r="A68" s="25"/>
      <c r="B68" s="25">
        <f>100000*B67/((((A67/2)^2)*3.1415926)*B66)</f>
        <v>0.49030065028723063</v>
      </c>
      <c r="C68" s="25"/>
      <c r="D68" s="25"/>
      <c r="E68" s="24"/>
      <c r="F68" s="25"/>
      <c r="G68" s="25">
        <v>0.46700000000000003</v>
      </c>
      <c r="I68" s="25"/>
      <c r="J68" s="25"/>
    </row>
    <row r="69" spans="1:10">
      <c r="A69" s="25"/>
      <c r="B69" s="25"/>
      <c r="C69" s="25"/>
      <c r="D69" s="25"/>
      <c r="E69" s="24"/>
      <c r="F69" s="25"/>
      <c r="G69" s="25"/>
      <c r="I69" s="25"/>
      <c r="J69" s="25"/>
    </row>
    <row r="70" spans="1:10">
      <c r="A70" s="25"/>
      <c r="B70" s="25"/>
      <c r="C70" s="25"/>
      <c r="D70" s="25"/>
      <c r="E70" s="24"/>
      <c r="F70" s="25"/>
      <c r="G70" s="25"/>
      <c r="I70" s="25"/>
      <c r="J70" s="25"/>
    </row>
    <row r="71" spans="1:10">
      <c r="A71" s="25"/>
      <c r="B71" s="25"/>
      <c r="C71" s="25"/>
      <c r="D71" s="25"/>
      <c r="E71" s="24"/>
      <c r="F71" s="25"/>
      <c r="G71" s="25"/>
      <c r="I71" s="25"/>
      <c r="J71" s="25"/>
    </row>
    <row r="72" spans="1:10">
      <c r="A72" s="25"/>
      <c r="B72" s="25"/>
      <c r="C72" s="25"/>
      <c r="D72" s="25"/>
      <c r="E72" s="24"/>
      <c r="F72" s="25"/>
      <c r="G72" s="25"/>
      <c r="I72" s="25"/>
      <c r="J72" s="25"/>
    </row>
    <row r="73" spans="1:10">
      <c r="A73" s="25"/>
      <c r="B73" s="25"/>
      <c r="C73" s="25"/>
      <c r="D73" s="25"/>
      <c r="E73" s="24"/>
      <c r="F73" s="25">
        <v>8</v>
      </c>
      <c r="G73" s="25">
        <v>101</v>
      </c>
      <c r="I73" s="25"/>
      <c r="J73" s="25"/>
    </row>
    <row r="74" spans="1:10">
      <c r="A74" s="25"/>
      <c r="B74" s="25"/>
      <c r="C74" s="25"/>
      <c r="D74" s="25"/>
      <c r="E74" s="24"/>
      <c r="F74" s="25">
        <v>98.56</v>
      </c>
      <c r="G74" s="25">
        <v>3.8220000000000001</v>
      </c>
      <c r="I74" s="25"/>
      <c r="J74" s="25"/>
    </row>
    <row r="75" spans="1:10">
      <c r="A75" s="25">
        <v>7</v>
      </c>
      <c r="B75" s="25">
        <v>99.5</v>
      </c>
      <c r="C75" s="25"/>
      <c r="D75" s="25"/>
      <c r="E75" s="24"/>
      <c r="F75" s="25"/>
      <c r="G75" s="25">
        <v>0.496</v>
      </c>
      <c r="I75" s="25"/>
      <c r="J75" s="25"/>
    </row>
    <row r="76" spans="1:10">
      <c r="A76" s="25">
        <v>101.33</v>
      </c>
      <c r="B76" s="25">
        <v>3.9910000000000001</v>
      </c>
      <c r="C76" s="25"/>
      <c r="D76" s="25"/>
      <c r="E76" s="24"/>
      <c r="F76" s="25"/>
      <c r="G76" s="25"/>
      <c r="I76" s="25"/>
      <c r="J76" s="25"/>
    </row>
    <row r="77" spans="1:10">
      <c r="A77" s="25"/>
      <c r="B77" s="25">
        <f>100000*B76/((((A76/2)^2)*3.1415926)*B75)</f>
        <v>0.49738500455777579</v>
      </c>
      <c r="C77" s="25"/>
      <c r="D77" s="25"/>
      <c r="E77" s="24"/>
      <c r="F77" s="25"/>
      <c r="G77" s="25"/>
      <c r="I77" s="25"/>
      <c r="J77" s="25"/>
    </row>
    <row r="78" spans="1:10">
      <c r="A78" s="25"/>
      <c r="B78" s="25"/>
      <c r="C78" s="25"/>
      <c r="D78" s="25"/>
      <c r="E78" s="24"/>
      <c r="F78" s="25"/>
      <c r="G78" s="25"/>
      <c r="I78" s="25"/>
      <c r="J78" s="25"/>
    </row>
    <row r="79" spans="1:10">
      <c r="A79" s="25"/>
      <c r="B79" s="25"/>
      <c r="C79" s="25"/>
      <c r="D79" s="25"/>
      <c r="E79" s="24"/>
      <c r="F79" s="25"/>
      <c r="G79" s="25"/>
      <c r="I79" s="25"/>
      <c r="J79" s="25"/>
    </row>
    <row r="80" spans="1:10">
      <c r="A80" s="25"/>
      <c r="B80" s="25"/>
      <c r="C80" s="25"/>
      <c r="D80" s="25"/>
      <c r="E80" s="24"/>
      <c r="F80" s="25"/>
      <c r="G80" s="25"/>
      <c r="I80" s="25"/>
      <c r="J80" s="25"/>
    </row>
    <row r="81" spans="1:10">
      <c r="A81" s="25"/>
      <c r="B81" s="25"/>
      <c r="C81" s="25"/>
      <c r="D81" s="25"/>
      <c r="E81" s="24"/>
      <c r="F81" s="25"/>
      <c r="G81" s="25"/>
      <c r="I81" s="25">
        <v>6</v>
      </c>
      <c r="J81" s="25">
        <v>100</v>
      </c>
    </row>
    <row r="82" spans="1:10">
      <c r="A82" s="25"/>
      <c r="B82" s="25"/>
      <c r="C82" s="25"/>
      <c r="D82" s="25"/>
      <c r="E82" s="24"/>
      <c r="F82" s="25"/>
      <c r="G82" s="25"/>
      <c r="I82" s="25">
        <v>101.08</v>
      </c>
      <c r="J82" s="25">
        <v>3.7869999999999999</v>
      </c>
    </row>
    <row r="83" spans="1:10">
      <c r="A83" s="25"/>
      <c r="B83" s="25"/>
      <c r="C83" s="25"/>
      <c r="D83" s="25"/>
      <c r="E83" s="24"/>
      <c r="F83" s="25"/>
      <c r="G83" s="25"/>
      <c r="I83" s="25"/>
      <c r="J83" s="25">
        <v>0.47199999999999998</v>
      </c>
    </row>
    <row r="84" spans="1:10">
      <c r="A84" s="25"/>
      <c r="B84" s="25"/>
      <c r="C84" s="25"/>
      <c r="D84" s="25"/>
      <c r="E84" s="24"/>
      <c r="F84" s="25"/>
      <c r="G84" s="25"/>
      <c r="I84" s="25"/>
      <c r="J84" s="25"/>
    </row>
    <row r="85" spans="1:10">
      <c r="A85" s="25"/>
      <c r="B85" s="25"/>
      <c r="C85" s="25"/>
      <c r="D85" s="25"/>
      <c r="E85" s="24"/>
      <c r="F85" s="25"/>
      <c r="G85" s="25"/>
      <c r="I85" s="25"/>
      <c r="J85" s="25"/>
    </row>
    <row r="86" spans="1:10">
      <c r="A86" s="25"/>
      <c r="B86" s="25"/>
      <c r="C86" s="25"/>
      <c r="D86" s="25"/>
      <c r="E86" s="24"/>
      <c r="F86" s="25"/>
      <c r="G86" s="25"/>
      <c r="I86" s="25"/>
      <c r="J86" s="25"/>
    </row>
    <row r="87" spans="1:10">
      <c r="A87" s="25"/>
      <c r="B87" s="25"/>
      <c r="C87" s="25"/>
      <c r="D87" s="25"/>
      <c r="E87" s="24"/>
      <c r="F87" s="25"/>
      <c r="G87" s="25"/>
      <c r="I87" s="25"/>
      <c r="J87" s="25"/>
    </row>
    <row r="88" spans="1:10">
      <c r="A88" s="25"/>
      <c r="B88" s="25"/>
      <c r="C88" s="25"/>
      <c r="D88" s="25"/>
      <c r="E88" s="24"/>
      <c r="F88" s="25"/>
      <c r="G88" s="25"/>
      <c r="I88" s="25"/>
      <c r="J88" s="25"/>
    </row>
    <row r="89" spans="1:10">
      <c r="A89" s="25"/>
      <c r="B89" s="25"/>
      <c r="C89" s="25"/>
      <c r="D89" s="25"/>
      <c r="E89" s="24"/>
      <c r="F89" s="25"/>
      <c r="G89" s="25"/>
      <c r="I89" s="25"/>
      <c r="J89" s="25"/>
    </row>
    <row r="90" spans="1:10">
      <c r="A90" s="25"/>
      <c r="B90" s="25"/>
      <c r="C90" s="25"/>
      <c r="D90" s="25"/>
      <c r="E90" s="24"/>
      <c r="F90" s="25"/>
      <c r="G90" s="25"/>
      <c r="I90" s="25"/>
      <c r="J90" s="25"/>
    </row>
    <row r="91" spans="1:10">
      <c r="A91" s="25"/>
      <c r="B91" s="25"/>
      <c r="C91" s="25"/>
      <c r="D91" s="25"/>
      <c r="E91" s="24"/>
      <c r="F91" s="25"/>
      <c r="G91" s="25"/>
      <c r="I91" s="25"/>
      <c r="J91" s="25"/>
    </row>
    <row r="92" spans="1:10">
      <c r="A92" s="25"/>
      <c r="B92" s="25"/>
      <c r="C92" s="25"/>
      <c r="D92" s="25"/>
      <c r="E92" s="24"/>
      <c r="F92" s="25"/>
      <c r="G92" s="25"/>
      <c r="I92" s="25"/>
      <c r="J92" s="25"/>
    </row>
    <row r="93" spans="1:10">
      <c r="A93" s="25"/>
      <c r="B93" s="25"/>
      <c r="C93" s="25"/>
      <c r="D93" s="25"/>
      <c r="E93" s="24"/>
      <c r="F93" s="25"/>
      <c r="G93" s="25"/>
      <c r="I93" s="25"/>
      <c r="J93" s="25"/>
    </row>
    <row r="94" spans="1:10">
      <c r="A94" s="25"/>
      <c r="B94" s="25"/>
      <c r="C94" s="25"/>
      <c r="D94" s="25"/>
      <c r="E94" s="24"/>
      <c r="F94" s="25">
        <v>9</v>
      </c>
      <c r="G94" s="25">
        <v>101</v>
      </c>
      <c r="I94" s="25"/>
      <c r="J94" s="25"/>
    </row>
    <row r="95" spans="1:10">
      <c r="A95" s="25">
        <v>8</v>
      </c>
      <c r="B95" s="25">
        <v>100.5</v>
      </c>
      <c r="C95" s="25"/>
      <c r="D95" s="25"/>
      <c r="E95" s="24"/>
      <c r="F95" s="25">
        <v>97.02</v>
      </c>
      <c r="G95" s="25">
        <v>3.8439999999999999</v>
      </c>
      <c r="I95" s="25">
        <v>7</v>
      </c>
      <c r="J95" s="25">
        <v>101</v>
      </c>
    </row>
    <row r="96" spans="1:10">
      <c r="A96" s="25">
        <v>100.68</v>
      </c>
      <c r="B96" s="25">
        <v>4.0739999999999998</v>
      </c>
      <c r="C96" s="25"/>
      <c r="D96" s="25"/>
      <c r="E96" s="24"/>
      <c r="F96" s="25"/>
      <c r="G96" s="25">
        <v>0.51500000000000001</v>
      </c>
      <c r="I96" s="25">
        <v>100.03</v>
      </c>
      <c r="J96" s="25">
        <v>3.948</v>
      </c>
    </row>
    <row r="97" spans="1:10">
      <c r="A97" s="25"/>
      <c r="B97" s="25">
        <f>100000*B96/((((A96/2)^2)*3.1415926)*B95)</f>
        <v>0.50918860391023069</v>
      </c>
      <c r="C97" s="25"/>
      <c r="D97" s="25"/>
      <c r="E97" s="24"/>
      <c r="F97" s="25"/>
      <c r="G97" s="25"/>
      <c r="I97" s="25"/>
      <c r="J97" s="25">
        <v>0.497</v>
      </c>
    </row>
    <row r="98" spans="1:10">
      <c r="A98" s="25"/>
      <c r="B98" s="25"/>
      <c r="C98" s="25"/>
      <c r="D98" s="25"/>
      <c r="E98" s="24"/>
      <c r="F98" s="25"/>
      <c r="G98" s="25"/>
      <c r="I98" s="25"/>
      <c r="J98" s="25"/>
    </row>
    <row r="99" spans="1:10">
      <c r="A99" s="25"/>
      <c r="B99" s="25"/>
      <c r="C99" s="25"/>
      <c r="D99" s="25"/>
      <c r="E99" s="24"/>
      <c r="F99" s="25"/>
      <c r="G99" s="25"/>
      <c r="I99" s="25"/>
      <c r="J99" s="25"/>
    </row>
    <row r="100" spans="1:10">
      <c r="A100" s="25"/>
      <c r="B100" s="25"/>
      <c r="C100" s="25"/>
      <c r="D100" s="25"/>
      <c r="E100" s="24"/>
      <c r="F100" s="25"/>
      <c r="G100" s="25"/>
      <c r="I100" s="25"/>
      <c r="J100" s="25"/>
    </row>
    <row r="101" spans="1:10">
      <c r="A101" s="25"/>
      <c r="B101" s="25"/>
      <c r="C101" s="25"/>
      <c r="D101" s="25"/>
      <c r="E101" s="24"/>
      <c r="F101" s="25"/>
      <c r="G101" s="25"/>
      <c r="I101" s="25"/>
      <c r="J101" s="25"/>
    </row>
    <row r="102" spans="1:10">
      <c r="A102" s="25"/>
      <c r="B102" s="25"/>
      <c r="C102" s="25"/>
      <c r="D102" s="25"/>
      <c r="E102" s="24"/>
      <c r="F102" s="25"/>
      <c r="G102" s="25"/>
      <c r="I102" s="25"/>
      <c r="J102" s="25"/>
    </row>
    <row r="103" spans="1:10">
      <c r="A103" s="25"/>
      <c r="B103" s="25"/>
      <c r="C103" s="25"/>
      <c r="D103" s="25"/>
      <c r="E103" s="24"/>
      <c r="F103" s="25">
        <v>10</v>
      </c>
      <c r="G103" s="25">
        <v>100</v>
      </c>
      <c r="I103" s="25"/>
      <c r="J103" s="25"/>
    </row>
    <row r="104" spans="1:10">
      <c r="A104" s="25"/>
      <c r="B104" s="25"/>
      <c r="C104" s="25"/>
      <c r="D104" s="25"/>
      <c r="E104" s="24"/>
      <c r="F104" s="25">
        <v>100.81</v>
      </c>
      <c r="G104" s="25">
        <v>4.117</v>
      </c>
      <c r="I104" s="25"/>
      <c r="J104" s="25"/>
    </row>
    <row r="105" spans="1:10">
      <c r="A105" s="25"/>
      <c r="B105" s="25"/>
      <c r="C105" s="25"/>
      <c r="D105" s="25"/>
      <c r="E105" s="24"/>
      <c r="F105" s="25"/>
      <c r="G105" s="25">
        <v>0.51600000000000001</v>
      </c>
      <c r="I105" s="25"/>
      <c r="J105" s="25"/>
    </row>
    <row r="106" spans="1:10">
      <c r="A106" s="25"/>
      <c r="B106" s="25"/>
      <c r="C106" s="25"/>
      <c r="D106" s="25"/>
      <c r="E106" s="24"/>
      <c r="F106" s="25"/>
      <c r="G106" s="25"/>
      <c r="I106" s="25"/>
      <c r="J106" s="25"/>
    </row>
    <row r="107" spans="1:10">
      <c r="A107" s="25"/>
      <c r="B107" s="25"/>
      <c r="C107" s="25"/>
      <c r="D107" s="25"/>
      <c r="E107" s="24"/>
      <c r="F107" s="25"/>
      <c r="G107" s="25"/>
      <c r="I107" s="25"/>
      <c r="J107" s="25"/>
    </row>
    <row r="108" spans="1:10">
      <c r="A108" s="25">
        <v>9</v>
      </c>
      <c r="B108" s="25">
        <v>97</v>
      </c>
      <c r="C108" s="25"/>
      <c r="D108" s="25"/>
      <c r="E108" s="24"/>
      <c r="F108" s="25"/>
      <c r="G108" s="25"/>
      <c r="I108" s="25"/>
      <c r="J108" s="25"/>
    </row>
    <row r="109" spans="1:10">
      <c r="A109" s="25">
        <v>99.77</v>
      </c>
      <c r="B109" s="25">
        <v>3.855</v>
      </c>
      <c r="C109" s="25"/>
      <c r="D109" s="25"/>
      <c r="E109" s="24"/>
      <c r="F109" s="25"/>
      <c r="G109" s="25"/>
      <c r="I109" s="25">
        <v>8</v>
      </c>
      <c r="J109" s="25">
        <v>99.5</v>
      </c>
    </row>
    <row r="110" spans="1:10">
      <c r="A110" s="25"/>
      <c r="B110" s="25">
        <f>100000*B109/((((A109/2)^2)*3.1415926)*B108)</f>
        <v>0.50835000214570747</v>
      </c>
      <c r="C110" s="25"/>
      <c r="D110" s="25"/>
      <c r="E110" s="24"/>
      <c r="F110" s="25"/>
      <c r="G110" s="25"/>
      <c r="I110" s="25">
        <v>100.77</v>
      </c>
      <c r="J110" s="25">
        <v>3.972</v>
      </c>
    </row>
    <row r="111" spans="1:10">
      <c r="A111" s="25"/>
      <c r="B111" s="25"/>
      <c r="C111" s="25"/>
      <c r="D111" s="25"/>
      <c r="E111" s="24"/>
      <c r="F111" s="25"/>
      <c r="G111" s="25"/>
      <c r="I111" s="25"/>
      <c r="J111" s="25">
        <v>0.501</v>
      </c>
    </row>
    <row r="112" spans="1:10">
      <c r="A112" s="25"/>
      <c r="B112" s="25"/>
      <c r="C112" s="25"/>
      <c r="D112" s="25"/>
      <c r="E112" s="24"/>
      <c r="F112" s="25"/>
      <c r="G112" s="25"/>
      <c r="I112" s="25"/>
      <c r="J112" s="25"/>
    </row>
    <row r="113" spans="1:10">
      <c r="A113" s="25"/>
      <c r="B113" s="25"/>
      <c r="C113" s="25"/>
      <c r="D113" s="25"/>
      <c r="E113" s="24"/>
      <c r="F113" s="25"/>
      <c r="G113" s="25"/>
      <c r="I113" s="25"/>
      <c r="J113" s="25"/>
    </row>
    <row r="114" spans="1:10">
      <c r="A114" s="25"/>
      <c r="B114" s="25"/>
      <c r="C114" s="25"/>
      <c r="D114" s="25"/>
      <c r="E114" s="24"/>
      <c r="F114" s="25"/>
      <c r="G114" s="25"/>
      <c r="I114" s="25"/>
      <c r="J114" s="25"/>
    </row>
    <row r="115" spans="1:10">
      <c r="A115" s="25"/>
      <c r="B115" s="25"/>
      <c r="C115" s="25"/>
      <c r="D115" s="25"/>
      <c r="E115" s="24"/>
      <c r="F115" s="25"/>
      <c r="G115" s="25"/>
      <c r="I115" s="25"/>
      <c r="J115" s="25"/>
    </row>
    <row r="116" spans="1:10">
      <c r="A116" s="25"/>
      <c r="B116" s="25"/>
      <c r="C116" s="25"/>
      <c r="D116" s="25"/>
      <c r="E116" s="24"/>
      <c r="F116" s="25"/>
      <c r="G116" s="25"/>
      <c r="I116" s="25"/>
      <c r="J116" s="25"/>
    </row>
    <row r="117" spans="1:10">
      <c r="A117" s="25"/>
      <c r="B117" s="25"/>
      <c r="C117" s="25"/>
      <c r="D117" s="25"/>
      <c r="E117" s="24"/>
      <c r="F117" s="25"/>
      <c r="G117" s="25"/>
      <c r="I117" s="25"/>
      <c r="J117" s="25"/>
    </row>
    <row r="118" spans="1:10">
      <c r="A118" s="25"/>
      <c r="B118" s="25"/>
      <c r="C118" s="25"/>
      <c r="D118" s="25"/>
      <c r="E118" s="24"/>
      <c r="F118" s="25">
        <v>11</v>
      </c>
      <c r="G118" s="25">
        <v>101</v>
      </c>
      <c r="I118" s="25"/>
      <c r="J118" s="25"/>
    </row>
    <row r="119" spans="1:10">
      <c r="A119" s="25"/>
      <c r="B119" s="25"/>
      <c r="C119" s="25"/>
      <c r="D119" s="25"/>
      <c r="E119" s="24"/>
      <c r="F119" s="25">
        <v>101.6</v>
      </c>
      <c r="G119" s="25">
        <v>4.3959999999999999</v>
      </c>
      <c r="I119" s="25"/>
      <c r="J119" s="25"/>
    </row>
    <row r="120" spans="1:10">
      <c r="A120" s="25">
        <v>10</v>
      </c>
      <c r="B120" s="25">
        <v>98.5</v>
      </c>
      <c r="C120" s="25"/>
      <c r="D120" s="25"/>
      <c r="E120" s="24"/>
      <c r="F120" s="25"/>
      <c r="G120" s="25">
        <v>0.53700000000000003</v>
      </c>
      <c r="I120" s="25"/>
      <c r="J120" s="25"/>
    </row>
    <row r="121" spans="1:10">
      <c r="A121" s="25">
        <v>102.51</v>
      </c>
      <c r="B121" s="25">
        <v>4.3490000000000002</v>
      </c>
      <c r="C121" s="25"/>
      <c r="D121" s="25"/>
      <c r="E121" s="24"/>
      <c r="F121" s="25"/>
      <c r="G121" s="25"/>
      <c r="I121" s="25"/>
      <c r="J121" s="25"/>
    </row>
    <row r="122" spans="1:10">
      <c r="A122" s="25"/>
      <c r="B122" s="25">
        <f>100000*B121/((((A121/2)^2)*3.1415926)*B120)</f>
        <v>0.53497173414575527</v>
      </c>
      <c r="C122" s="25"/>
      <c r="D122" s="25"/>
      <c r="E122" s="24"/>
      <c r="F122" s="25"/>
      <c r="G122" s="25"/>
      <c r="I122" s="25"/>
      <c r="J122" s="25"/>
    </row>
    <row r="123" spans="1:10">
      <c r="A123" s="25"/>
      <c r="B123" s="25"/>
      <c r="C123" s="25"/>
      <c r="D123" s="25"/>
      <c r="E123" s="24"/>
      <c r="F123" s="25"/>
      <c r="G123" s="25"/>
      <c r="I123" s="25">
        <v>9</v>
      </c>
      <c r="J123" s="25">
        <v>100.5</v>
      </c>
    </row>
    <row r="124" spans="1:10">
      <c r="A124" s="25"/>
      <c r="B124" s="25"/>
      <c r="C124" s="25"/>
      <c r="D124" s="25"/>
      <c r="E124" s="24"/>
      <c r="F124" s="25"/>
      <c r="G124" s="25"/>
      <c r="I124" s="25">
        <v>99.96</v>
      </c>
      <c r="J124" s="25">
        <v>4.1029999999999998</v>
      </c>
    </row>
    <row r="125" spans="1:10">
      <c r="A125" s="25"/>
      <c r="B125" s="25"/>
      <c r="C125" s="25"/>
      <c r="D125" s="25"/>
      <c r="E125" s="24"/>
      <c r="F125" s="25"/>
      <c r="G125" s="25"/>
      <c r="I125" s="25"/>
      <c r="J125" s="25">
        <v>0.52</v>
      </c>
    </row>
    <row r="126" spans="1:10">
      <c r="A126" s="25"/>
      <c r="B126" s="25"/>
      <c r="C126" s="25"/>
      <c r="D126" s="25"/>
      <c r="E126" s="24"/>
      <c r="F126" s="25"/>
      <c r="G126" s="25"/>
      <c r="I126" s="25"/>
      <c r="J126" s="25"/>
    </row>
    <row r="127" spans="1:10">
      <c r="A127" s="25"/>
      <c r="B127" s="25"/>
      <c r="C127" s="25"/>
      <c r="D127" s="25"/>
      <c r="E127" s="24"/>
      <c r="F127" s="25"/>
      <c r="G127" s="25"/>
      <c r="I127" s="25"/>
      <c r="J127" s="25"/>
    </row>
    <row r="128" spans="1:10">
      <c r="A128" s="25"/>
      <c r="B128" s="25"/>
      <c r="C128" s="25"/>
      <c r="D128" s="25"/>
      <c r="E128" s="24"/>
      <c r="F128" s="25"/>
      <c r="G128" s="25"/>
      <c r="I128" s="25"/>
      <c r="J128" s="25"/>
    </row>
    <row r="129" spans="1:10">
      <c r="A129" s="25"/>
      <c r="B129" s="25"/>
      <c r="C129" s="25"/>
      <c r="D129" s="25"/>
      <c r="E129" s="24"/>
      <c r="F129" s="25"/>
      <c r="G129" s="25"/>
      <c r="I129" s="25"/>
      <c r="J129" s="25"/>
    </row>
    <row r="130" spans="1:10">
      <c r="A130" s="25"/>
      <c r="B130" s="25"/>
      <c r="C130" s="25"/>
      <c r="D130" s="25"/>
      <c r="E130" s="24"/>
      <c r="F130" s="25"/>
      <c r="G130" s="25"/>
      <c r="I130" s="25"/>
      <c r="J130" s="25"/>
    </row>
    <row r="131" spans="1:10">
      <c r="A131" s="25"/>
      <c r="B131" s="25"/>
      <c r="C131" s="25"/>
      <c r="D131" s="25"/>
      <c r="E131" s="24"/>
      <c r="F131" s="25"/>
      <c r="G131" s="25"/>
      <c r="I131" s="25"/>
      <c r="J131" s="25"/>
    </row>
    <row r="132" spans="1:10">
      <c r="A132" s="25">
        <v>11</v>
      </c>
      <c r="B132" s="25">
        <v>99.5</v>
      </c>
      <c r="C132" s="25"/>
      <c r="D132" s="25"/>
      <c r="E132" s="24"/>
      <c r="F132" s="25"/>
      <c r="G132" s="25"/>
      <c r="I132" s="25"/>
      <c r="J132" s="25"/>
    </row>
    <row r="133" spans="1:10">
      <c r="A133" s="25">
        <v>102.58</v>
      </c>
      <c r="B133" s="25">
        <v>4.43</v>
      </c>
      <c r="C133" s="25"/>
      <c r="D133" s="25"/>
      <c r="E133" s="24"/>
      <c r="F133" s="25"/>
      <c r="G133" s="25"/>
      <c r="I133" s="25"/>
      <c r="J133" s="25"/>
    </row>
    <row r="134" spans="1:10">
      <c r="A134" s="25"/>
      <c r="B134" s="25">
        <f>100000*B133/((((A133/2)^2)*3.1415926)*B132)</f>
        <v>0.53872283197148307</v>
      </c>
      <c r="C134" s="25"/>
      <c r="D134" s="25"/>
      <c r="E134" s="24"/>
      <c r="F134" s="25">
        <v>12</v>
      </c>
      <c r="G134" s="25">
        <v>101</v>
      </c>
      <c r="I134" s="25"/>
      <c r="J134" s="25"/>
    </row>
    <row r="135" spans="1:10">
      <c r="A135" s="25"/>
      <c r="B135" s="25"/>
      <c r="C135" s="25"/>
      <c r="D135" s="25"/>
      <c r="E135" s="24"/>
      <c r="F135" s="25">
        <v>101.14</v>
      </c>
      <c r="G135" s="25">
        <v>4.3550000000000004</v>
      </c>
      <c r="I135" s="25">
        <v>10</v>
      </c>
      <c r="J135" s="25">
        <v>99.5</v>
      </c>
    </row>
    <row r="136" spans="1:10">
      <c r="A136" s="25"/>
      <c r="B136" s="25"/>
      <c r="C136" s="25"/>
      <c r="D136" s="25"/>
      <c r="E136" s="24"/>
      <c r="F136" s="25"/>
      <c r="G136" s="25">
        <v>0.53700000000000003</v>
      </c>
      <c r="I136" s="25">
        <v>101.73</v>
      </c>
      <c r="J136" s="25">
        <v>4.3070000000000004</v>
      </c>
    </row>
    <row r="137" spans="1:10">
      <c r="A137" s="25"/>
      <c r="B137" s="25"/>
      <c r="C137" s="25"/>
      <c r="D137" s="25"/>
      <c r="E137" s="24"/>
      <c r="F137" s="25"/>
      <c r="G137" s="25"/>
      <c r="I137" s="25"/>
      <c r="J137" s="25">
        <v>0.53300000000000003</v>
      </c>
    </row>
    <row r="138" spans="1:10">
      <c r="A138" s="25"/>
      <c r="B138" s="25"/>
      <c r="C138" s="25"/>
      <c r="D138" s="25"/>
      <c r="E138" s="24"/>
      <c r="F138" s="25"/>
      <c r="G138" s="25"/>
      <c r="I138" s="25"/>
      <c r="J138" s="25"/>
    </row>
    <row r="139" spans="1:10">
      <c r="A139" s="25"/>
      <c r="B139" s="25"/>
      <c r="C139" s="25"/>
      <c r="D139" s="25"/>
      <c r="E139" s="24"/>
      <c r="F139" s="25"/>
      <c r="G139" s="25"/>
      <c r="I139" s="25"/>
      <c r="J139" s="25"/>
    </row>
    <row r="140" spans="1:10">
      <c r="A140" s="25"/>
      <c r="B140" s="25"/>
      <c r="C140" s="25"/>
      <c r="D140" s="25"/>
      <c r="E140" s="24"/>
      <c r="F140" s="25"/>
      <c r="G140" s="25"/>
      <c r="I140" s="25"/>
      <c r="J140" s="25"/>
    </row>
    <row r="141" spans="1:10">
      <c r="A141" s="25"/>
      <c r="B141" s="25"/>
      <c r="C141" s="25"/>
      <c r="D141" s="25"/>
      <c r="E141" s="24"/>
      <c r="F141" s="25"/>
      <c r="G141" s="25"/>
      <c r="I141" s="25"/>
      <c r="J141" s="25"/>
    </row>
    <row r="142" spans="1:10">
      <c r="A142" s="25"/>
      <c r="B142" s="25"/>
      <c r="C142" s="25"/>
      <c r="D142" s="25"/>
      <c r="E142" s="24"/>
      <c r="F142" s="25"/>
      <c r="G142" s="25"/>
      <c r="I142" s="25"/>
      <c r="J142" s="25"/>
    </row>
    <row r="143" spans="1:10">
      <c r="A143" s="25"/>
      <c r="B143" s="25"/>
      <c r="C143" s="25"/>
      <c r="D143" s="25"/>
      <c r="E143" s="24"/>
      <c r="F143" s="25"/>
      <c r="G143" s="25"/>
      <c r="I143" s="25"/>
      <c r="J143" s="25"/>
    </row>
    <row r="144" spans="1:10">
      <c r="A144" s="25">
        <v>12</v>
      </c>
      <c r="B144" s="25">
        <v>96</v>
      </c>
      <c r="C144" s="25"/>
      <c r="D144" s="25"/>
      <c r="E144" s="24"/>
      <c r="F144" s="25"/>
      <c r="G144" s="25"/>
      <c r="I144" s="25"/>
      <c r="J144" s="25"/>
    </row>
    <row r="145" spans="1:10">
      <c r="A145" s="25">
        <v>102.72</v>
      </c>
      <c r="B145" s="25">
        <v>4.3550000000000004</v>
      </c>
      <c r="C145" s="25"/>
      <c r="D145" s="25"/>
      <c r="E145" s="24"/>
      <c r="F145" s="25"/>
      <c r="G145" s="25"/>
      <c r="I145" s="25"/>
      <c r="J145" s="25"/>
    </row>
    <row r="146" spans="1:10">
      <c r="A146" s="25"/>
      <c r="B146" s="25">
        <f>100000*B145/((((A145/2)^2)*3.1415926)*B144)</f>
        <v>0.54741542519816877</v>
      </c>
      <c r="C146" s="25"/>
      <c r="D146" s="25"/>
      <c r="E146" s="24"/>
      <c r="F146" s="25"/>
      <c r="G146" s="25"/>
      <c r="I146" s="25"/>
      <c r="J146" s="25"/>
    </row>
    <row r="147" spans="1:10">
      <c r="A147" s="25"/>
      <c r="B147" s="25"/>
      <c r="C147" s="25"/>
      <c r="D147" s="25"/>
      <c r="E147" s="24"/>
      <c r="F147" s="25"/>
      <c r="G147" s="25"/>
      <c r="I147" s="25"/>
      <c r="J147" s="25"/>
    </row>
    <row r="148" spans="1:10">
      <c r="A148" s="25"/>
      <c r="B148" s="25"/>
      <c r="C148" s="25"/>
      <c r="D148" s="25"/>
      <c r="E148" s="24"/>
      <c r="F148" s="25"/>
      <c r="G148" s="25"/>
      <c r="I148" s="25"/>
      <c r="J148" s="25"/>
    </row>
    <row r="149" spans="1:10">
      <c r="A149" s="25"/>
      <c r="B149" s="25"/>
      <c r="C149" s="25"/>
      <c r="D149" s="25"/>
      <c r="E149" s="24"/>
      <c r="F149" s="25"/>
      <c r="G149" s="25"/>
      <c r="I149" s="25"/>
      <c r="J149" s="25"/>
    </row>
    <row r="150" spans="1:10">
      <c r="A150" s="25"/>
      <c r="B150" s="25"/>
      <c r="C150" s="25"/>
      <c r="D150" s="25"/>
      <c r="E150" s="24"/>
      <c r="F150" s="25"/>
      <c r="G150" s="25"/>
      <c r="I150" s="25"/>
      <c r="J150" s="25"/>
    </row>
    <row r="151" spans="1:10">
      <c r="A151" s="25"/>
      <c r="B151" s="25"/>
      <c r="C151" s="25"/>
      <c r="D151" s="25"/>
      <c r="E151" s="24"/>
      <c r="F151" s="25"/>
      <c r="G151" s="25"/>
      <c r="I151" s="25"/>
      <c r="J151" s="25"/>
    </row>
    <row r="152" spans="1:10">
      <c r="A152" s="25"/>
      <c r="B152" s="25"/>
      <c r="C152" s="25"/>
      <c r="D152" s="25"/>
      <c r="E152" s="24"/>
      <c r="F152" s="25"/>
      <c r="G152" s="25"/>
      <c r="I152" s="25"/>
      <c r="J152" s="25"/>
    </row>
    <row r="153" spans="1:10">
      <c r="A153" s="25"/>
      <c r="B153" s="25"/>
      <c r="C153" s="25"/>
      <c r="D153" s="25"/>
      <c r="E153" s="24"/>
      <c r="F153" s="25"/>
      <c r="G153" s="25"/>
      <c r="I153" s="25">
        <v>11</v>
      </c>
      <c r="J153" s="25">
        <v>100.5</v>
      </c>
    </row>
    <row r="154" spans="1:10">
      <c r="A154" s="25"/>
      <c r="B154" s="25"/>
      <c r="C154" s="25"/>
      <c r="D154" s="25"/>
      <c r="E154" s="24"/>
      <c r="F154" s="25"/>
      <c r="G154" s="25"/>
      <c r="I154" s="25">
        <v>101.47</v>
      </c>
      <c r="J154" s="25">
        <v>4.3789999999999996</v>
      </c>
    </row>
    <row r="155" spans="1:10">
      <c r="A155" s="25"/>
      <c r="B155" s="25"/>
      <c r="C155" s="25"/>
      <c r="D155" s="25"/>
      <c r="E155" s="24"/>
      <c r="F155" s="25"/>
      <c r="G155" s="25"/>
      <c r="I155" s="25"/>
      <c r="J155" s="25">
        <v>0.53900000000000003</v>
      </c>
    </row>
    <row r="156" spans="1:10">
      <c r="A156" s="25">
        <v>13</v>
      </c>
      <c r="B156" s="25">
        <v>100.5</v>
      </c>
      <c r="C156" s="25"/>
      <c r="D156" s="25"/>
      <c r="E156" s="24"/>
      <c r="F156" s="25"/>
      <c r="G156" s="25"/>
      <c r="I156" s="25"/>
      <c r="J156" s="25"/>
    </row>
    <row r="157" spans="1:10">
      <c r="A157" s="25">
        <v>102.35</v>
      </c>
      <c r="B157" s="25">
        <v>4.5350000000000001</v>
      </c>
      <c r="C157" s="25"/>
      <c r="D157" s="25"/>
      <c r="E157" s="24"/>
      <c r="F157" s="25">
        <v>13</v>
      </c>
      <c r="G157" s="25">
        <v>99.5</v>
      </c>
      <c r="I157" s="25"/>
      <c r="J157" s="25"/>
    </row>
    <row r="158" spans="1:10">
      <c r="A158" s="25"/>
      <c r="B158" s="25">
        <f>100000*B157/((((A157/2)^2)*3.1415926)*B156)</f>
        <v>0.54846088699250073</v>
      </c>
      <c r="C158" s="25"/>
      <c r="D158" s="25"/>
      <c r="E158" s="24"/>
      <c r="F158" s="25">
        <v>101.94</v>
      </c>
      <c r="G158" s="25">
        <v>4.468</v>
      </c>
      <c r="I158" s="25"/>
      <c r="J158" s="25"/>
    </row>
    <row r="159" spans="1:10">
      <c r="A159" s="25"/>
      <c r="B159" s="25"/>
      <c r="C159" s="25"/>
      <c r="D159" s="25"/>
      <c r="E159" s="24"/>
      <c r="F159" s="25"/>
      <c r="G159" s="25">
        <v>0.55000000000000004</v>
      </c>
      <c r="I159" s="25"/>
      <c r="J159" s="25"/>
    </row>
    <row r="160" spans="1:10">
      <c r="A160" s="25"/>
      <c r="B160" s="25"/>
      <c r="C160" s="25"/>
      <c r="D160" s="25"/>
      <c r="E160" s="24"/>
      <c r="F160" s="25"/>
      <c r="G160" s="25"/>
      <c r="I160" s="25"/>
      <c r="J160" s="25"/>
    </row>
    <row r="161" spans="1:10">
      <c r="A161" s="25"/>
      <c r="B161" s="25"/>
      <c r="C161" s="25"/>
      <c r="D161" s="25"/>
      <c r="E161" s="24"/>
      <c r="F161" s="25"/>
      <c r="G161" s="25"/>
      <c r="I161" s="25"/>
      <c r="J161" s="25"/>
    </row>
    <row r="162" spans="1:10">
      <c r="A162" s="25"/>
      <c r="B162" s="25"/>
      <c r="C162" s="25"/>
      <c r="D162" s="25"/>
      <c r="E162" s="24"/>
      <c r="F162" s="25"/>
      <c r="G162" s="25"/>
      <c r="I162" s="25"/>
      <c r="J162" s="25"/>
    </row>
    <row r="163" spans="1:10">
      <c r="A163" s="25"/>
      <c r="B163" s="25"/>
      <c r="C163" s="25"/>
      <c r="D163" s="25"/>
      <c r="E163" s="24"/>
      <c r="F163" s="25"/>
      <c r="G163" s="25"/>
      <c r="I163" s="25"/>
      <c r="J163" s="25"/>
    </row>
    <row r="164" spans="1:10">
      <c r="A164" s="25"/>
      <c r="B164" s="25"/>
      <c r="C164" s="25"/>
      <c r="D164" s="25"/>
      <c r="E164" s="24"/>
      <c r="F164" s="25"/>
      <c r="G164" s="25"/>
      <c r="I164" s="25"/>
      <c r="J164" s="25"/>
    </row>
    <row r="165" spans="1:10">
      <c r="A165" s="25"/>
      <c r="B165" s="25"/>
      <c r="C165" s="25"/>
      <c r="D165" s="25"/>
      <c r="E165" s="24"/>
      <c r="F165" s="25"/>
      <c r="G165" s="25"/>
      <c r="I165" s="25"/>
      <c r="J165" s="25"/>
    </row>
    <row r="166" spans="1:10">
      <c r="A166" s="25"/>
      <c r="B166" s="25"/>
      <c r="C166" s="25"/>
      <c r="D166" s="25"/>
      <c r="E166" s="24"/>
      <c r="F166" s="25"/>
      <c r="G166" s="25"/>
      <c r="I166" s="25"/>
      <c r="J166" s="25"/>
    </row>
    <row r="167" spans="1:10">
      <c r="A167" s="25"/>
      <c r="B167" s="25"/>
      <c r="C167" s="25"/>
      <c r="D167" s="25"/>
      <c r="E167" s="24"/>
      <c r="F167" s="25"/>
      <c r="G167" s="25"/>
      <c r="I167" s="25"/>
      <c r="J167" s="25"/>
    </row>
    <row r="168" spans="1:10">
      <c r="A168" s="25">
        <v>14</v>
      </c>
      <c r="B168" s="25">
        <v>102.5</v>
      </c>
      <c r="C168" s="25"/>
      <c r="D168" s="25"/>
      <c r="E168" s="24"/>
      <c r="F168" s="25"/>
      <c r="G168" s="25"/>
      <c r="I168" s="25"/>
      <c r="J168" s="25"/>
    </row>
    <row r="169" spans="1:10">
      <c r="A169" s="25">
        <v>102.52</v>
      </c>
      <c r="B169" s="25">
        <v>4.7709999999999999</v>
      </c>
      <c r="C169" s="25"/>
      <c r="D169" s="25"/>
      <c r="E169" s="24"/>
      <c r="F169" s="25"/>
      <c r="G169" s="25"/>
      <c r="I169" s="25"/>
      <c r="J169" s="25"/>
    </row>
    <row r="170" spans="1:10">
      <c r="A170" s="25"/>
      <c r="B170" s="25">
        <f>100000*B169/((((A169/2)^2)*3.1415926)*B168)</f>
        <v>0.56386934183384896</v>
      </c>
      <c r="C170" s="25"/>
      <c r="D170" s="25"/>
      <c r="E170" s="24"/>
      <c r="F170" s="25"/>
      <c r="G170" s="25"/>
      <c r="I170" s="25"/>
      <c r="J170" s="25"/>
    </row>
    <row r="171" spans="1:10">
      <c r="A171" s="25"/>
      <c r="B171" s="25"/>
      <c r="C171" s="25"/>
      <c r="D171" s="25"/>
      <c r="E171" s="24"/>
      <c r="F171" s="25"/>
      <c r="G171" s="25"/>
      <c r="I171" s="25"/>
      <c r="J171" s="25"/>
    </row>
    <row r="172" spans="1:10">
      <c r="A172" s="25"/>
      <c r="B172" s="25"/>
      <c r="C172" s="25"/>
      <c r="D172" s="25"/>
      <c r="E172" s="24"/>
      <c r="F172" s="25">
        <v>14</v>
      </c>
      <c r="G172" s="25">
        <v>100.5</v>
      </c>
      <c r="I172" s="25">
        <v>12</v>
      </c>
      <c r="J172" s="25">
        <v>100</v>
      </c>
    </row>
    <row r="173" spans="1:10">
      <c r="A173" s="25"/>
      <c r="B173" s="25"/>
      <c r="C173" s="25"/>
      <c r="D173" s="25"/>
      <c r="E173" s="24"/>
      <c r="F173" s="25">
        <v>101.62</v>
      </c>
      <c r="G173" s="25">
        <v>4.5529999999999999</v>
      </c>
      <c r="I173" s="25">
        <v>101.68</v>
      </c>
      <c r="J173" s="25">
        <v>4.5830000000000002</v>
      </c>
    </row>
    <row r="174" spans="1:10">
      <c r="A174" s="25"/>
      <c r="B174" s="25"/>
      <c r="C174" s="25"/>
      <c r="D174" s="25"/>
      <c r="E174" s="24"/>
      <c r="F174" s="25"/>
      <c r="G174" s="25">
        <v>0.55900000000000005</v>
      </c>
      <c r="I174" s="25"/>
      <c r="J174" s="25">
        <v>0.56399999999999995</v>
      </c>
    </row>
    <row r="175" spans="1:10">
      <c r="A175" s="25"/>
      <c r="B175" s="25"/>
      <c r="C175" s="25"/>
      <c r="D175" s="25"/>
      <c r="E175" s="24"/>
      <c r="F175" s="25"/>
      <c r="G175" s="25"/>
      <c r="I175" s="25"/>
      <c r="J175" s="25"/>
    </row>
    <row r="176" spans="1:10">
      <c r="A176" s="25"/>
      <c r="B176" s="25"/>
      <c r="C176" s="25"/>
      <c r="D176" s="25"/>
      <c r="E176" s="24"/>
      <c r="F176" s="25"/>
      <c r="G176" s="25"/>
      <c r="I176" s="25"/>
      <c r="J176" s="25"/>
    </row>
    <row r="177" spans="1:10">
      <c r="A177" s="25"/>
      <c r="B177" s="25"/>
      <c r="C177" s="25"/>
      <c r="D177" s="25"/>
      <c r="E177" s="24"/>
      <c r="F177" s="25"/>
      <c r="G177" s="25"/>
      <c r="I177" s="25"/>
      <c r="J177" s="25"/>
    </row>
    <row r="178" spans="1:10">
      <c r="A178" s="25"/>
      <c r="B178" s="25"/>
      <c r="C178" s="25"/>
      <c r="D178" s="25"/>
      <c r="E178" s="24"/>
      <c r="F178" s="25"/>
      <c r="G178" s="25"/>
      <c r="I178" s="25"/>
      <c r="J178" s="25"/>
    </row>
    <row r="179" spans="1:10">
      <c r="A179" s="25"/>
      <c r="B179" s="25"/>
      <c r="C179" s="25"/>
      <c r="D179" s="25"/>
      <c r="E179" s="24"/>
      <c r="F179" s="25"/>
      <c r="G179" s="25"/>
      <c r="I179" s="25"/>
      <c r="J179" s="25"/>
    </row>
    <row r="180" spans="1:10">
      <c r="A180" s="25"/>
      <c r="B180" s="25"/>
      <c r="C180" s="25"/>
      <c r="D180" s="25"/>
      <c r="E180" s="24"/>
      <c r="F180" s="25"/>
      <c r="G180" s="25"/>
      <c r="I180" s="25"/>
      <c r="J180" s="25"/>
    </row>
    <row r="181" spans="1:10">
      <c r="A181" s="25"/>
      <c r="B181" s="25"/>
      <c r="C181" s="25"/>
      <c r="D181" s="25"/>
      <c r="E181" s="24"/>
      <c r="F181" s="25"/>
      <c r="G181" s="25"/>
      <c r="I181" s="25"/>
      <c r="J181" s="25"/>
    </row>
    <row r="182" spans="1:10">
      <c r="A182" s="25"/>
      <c r="B182" s="25"/>
      <c r="C182" s="25"/>
      <c r="D182" s="25"/>
      <c r="E182" s="24"/>
      <c r="F182" s="25"/>
      <c r="G182" s="25"/>
      <c r="I182" s="25"/>
      <c r="J182" s="25"/>
    </row>
    <row r="183" spans="1:10">
      <c r="A183" s="25"/>
      <c r="B183" s="25"/>
      <c r="C183" s="25"/>
      <c r="D183" s="25"/>
      <c r="E183" s="24"/>
      <c r="F183" s="25"/>
      <c r="G183" s="25"/>
      <c r="I183" s="25"/>
      <c r="J183" s="25"/>
    </row>
    <row r="184" spans="1:10">
      <c r="A184" s="25"/>
      <c r="B184" s="25"/>
      <c r="C184" s="25"/>
      <c r="D184" s="25"/>
      <c r="E184" s="24"/>
      <c r="F184" s="25"/>
      <c r="G184" s="25"/>
      <c r="I184" s="25"/>
      <c r="J184" s="25"/>
    </row>
    <row r="185" spans="1:10">
      <c r="A185" s="25"/>
      <c r="B185" s="25"/>
      <c r="C185" s="25"/>
      <c r="D185" s="25"/>
      <c r="E185" s="24"/>
      <c r="F185" s="25"/>
      <c r="G185" s="25"/>
      <c r="I185" s="25">
        <v>13</v>
      </c>
      <c r="J185" s="25">
        <v>103</v>
      </c>
    </row>
    <row r="186" spans="1:10">
      <c r="A186" s="25"/>
      <c r="B186" s="25"/>
      <c r="C186" s="25"/>
      <c r="D186" s="25"/>
      <c r="E186" s="24"/>
      <c r="F186" s="25"/>
      <c r="G186" s="25"/>
      <c r="I186" s="25">
        <v>101.92</v>
      </c>
      <c r="J186" s="25">
        <v>4.7149999999999999</v>
      </c>
    </row>
    <row r="187" spans="1:10">
      <c r="A187" s="25"/>
      <c r="B187" s="25"/>
      <c r="C187" s="25"/>
      <c r="D187" s="25"/>
      <c r="E187" s="24"/>
      <c r="F187" s="25"/>
      <c r="G187" s="25"/>
      <c r="I187" s="25"/>
      <c r="J187" s="25">
        <v>0.56100000000000005</v>
      </c>
    </row>
    <row r="188" spans="1:10">
      <c r="A188" s="25">
        <v>15</v>
      </c>
      <c r="B188" s="25">
        <v>100.5</v>
      </c>
      <c r="C188" s="25"/>
      <c r="D188" s="25"/>
      <c r="E188" s="24"/>
      <c r="F188" s="25"/>
      <c r="G188" s="25"/>
      <c r="I188" s="25"/>
      <c r="J188" s="25"/>
    </row>
    <row r="189" spans="1:10">
      <c r="A189" s="25">
        <v>103.02</v>
      </c>
      <c r="B189" s="25">
        <v>4.7160000000000002</v>
      </c>
      <c r="C189" s="25"/>
      <c r="D189" s="25"/>
      <c r="E189" s="24"/>
      <c r="F189" s="25"/>
      <c r="G189" s="25"/>
      <c r="I189" s="25"/>
      <c r="J189" s="25"/>
    </row>
    <row r="190" spans="1:10">
      <c r="A190" s="25"/>
      <c r="B190" s="25">
        <f>100000*B189/((((A189/2)^2)*3.1415926)*B188)</f>
        <v>0.56295641143633812</v>
      </c>
      <c r="C190" s="25"/>
      <c r="D190" s="25"/>
      <c r="E190" s="24"/>
      <c r="F190" s="25"/>
      <c r="G190" s="25"/>
      <c r="I190" s="25"/>
      <c r="J190" s="25"/>
    </row>
    <row r="191" spans="1:10">
      <c r="A191" s="25"/>
      <c r="B191" s="25"/>
      <c r="C191" s="25"/>
      <c r="D191" s="25"/>
      <c r="E191" s="24"/>
      <c r="F191" s="25"/>
      <c r="G191" s="25"/>
      <c r="I191" s="25"/>
      <c r="J191" s="25"/>
    </row>
    <row r="192" spans="1:10">
      <c r="A192" s="25"/>
      <c r="B192" s="25"/>
      <c r="C192" s="25"/>
      <c r="D192" s="25"/>
      <c r="E192" s="24"/>
      <c r="F192" s="25"/>
      <c r="G192" s="25"/>
      <c r="I192" s="25"/>
      <c r="J192" s="25"/>
    </row>
    <row r="193" spans="1:10">
      <c r="A193" s="25"/>
      <c r="B193" s="25"/>
      <c r="C193" s="25"/>
      <c r="D193" s="25"/>
      <c r="E193" s="24"/>
      <c r="F193" s="25"/>
      <c r="G193" s="25"/>
      <c r="I193" s="25"/>
      <c r="J193" s="25"/>
    </row>
    <row r="194" spans="1:10">
      <c r="A194" s="25"/>
      <c r="B194" s="25"/>
      <c r="C194" s="25"/>
      <c r="D194" s="25"/>
      <c r="E194" s="24"/>
      <c r="F194" s="25"/>
      <c r="G194" s="25"/>
      <c r="I194" s="25"/>
      <c r="J194" s="25"/>
    </row>
    <row r="195" spans="1:10">
      <c r="A195" s="25"/>
      <c r="B195" s="25"/>
      <c r="C195" s="25"/>
      <c r="D195" s="25"/>
      <c r="E195" s="24"/>
      <c r="F195" s="25"/>
      <c r="G195" s="25"/>
      <c r="I195" s="25"/>
      <c r="J195" s="25"/>
    </row>
    <row r="196" spans="1:10">
      <c r="A196" s="25"/>
      <c r="B196" s="25"/>
      <c r="C196" s="25"/>
      <c r="D196" s="25"/>
      <c r="E196" s="24"/>
      <c r="F196" s="25"/>
      <c r="G196" s="25"/>
      <c r="I196" s="25"/>
      <c r="J196" s="25"/>
    </row>
    <row r="197" spans="1:10">
      <c r="A197" s="25"/>
      <c r="B197" s="25"/>
      <c r="C197" s="25"/>
      <c r="D197" s="25"/>
      <c r="E197" s="24"/>
      <c r="F197" s="25"/>
      <c r="G197" s="25"/>
      <c r="I197" s="25"/>
      <c r="J197" s="25"/>
    </row>
    <row r="198" spans="1:10">
      <c r="A198" s="25"/>
      <c r="B198" s="25"/>
      <c r="C198" s="25"/>
      <c r="D198" s="25"/>
      <c r="E198" s="24"/>
      <c r="F198" s="25"/>
      <c r="G198" s="25"/>
      <c r="I198" s="25"/>
      <c r="J198" s="25"/>
    </row>
    <row r="199" spans="1:10">
      <c r="A199" s="25"/>
      <c r="B199" s="25"/>
      <c r="C199" s="25"/>
      <c r="D199" s="25"/>
      <c r="E199" s="24"/>
      <c r="F199" s="25"/>
      <c r="G199" s="25"/>
      <c r="I199" s="25"/>
      <c r="J199" s="25"/>
    </row>
    <row r="200" spans="1:10">
      <c r="A200" s="25"/>
      <c r="B200" s="25"/>
      <c r="C200" s="25"/>
      <c r="D200" s="25"/>
      <c r="E200" s="24"/>
      <c r="F200" s="25">
        <v>15</v>
      </c>
      <c r="G200" s="25">
        <v>98.5</v>
      </c>
      <c r="I200" s="25"/>
      <c r="J200" s="25"/>
    </row>
    <row r="201" spans="1:10">
      <c r="A201" s="25"/>
      <c r="B201" s="25"/>
      <c r="C201" s="25"/>
      <c r="D201" s="25"/>
      <c r="E201" s="24"/>
      <c r="F201" s="25">
        <v>101.3</v>
      </c>
      <c r="G201" s="25">
        <v>4.5030000000000001</v>
      </c>
      <c r="I201" s="25"/>
      <c r="J201" s="25"/>
    </row>
    <row r="202" spans="1:10">
      <c r="A202" s="25"/>
      <c r="B202" s="25"/>
      <c r="C202" s="25"/>
      <c r="D202" s="25"/>
      <c r="E202" s="24"/>
      <c r="F202" s="25"/>
      <c r="G202" s="25">
        <v>0.56699999999999995</v>
      </c>
      <c r="I202" s="25">
        <v>14</v>
      </c>
      <c r="J202" s="25">
        <v>102.5</v>
      </c>
    </row>
    <row r="203" spans="1:10">
      <c r="A203" s="25"/>
      <c r="B203" s="25"/>
      <c r="C203" s="25"/>
      <c r="D203" s="25"/>
      <c r="E203" s="24"/>
      <c r="F203" s="25"/>
      <c r="G203" s="25"/>
      <c r="I203" s="25">
        <v>102.54</v>
      </c>
      <c r="J203" s="25">
        <v>4.7430000000000003</v>
      </c>
    </row>
    <row r="204" spans="1:10">
      <c r="A204" s="25"/>
      <c r="B204" s="25"/>
      <c r="C204" s="25"/>
      <c r="D204" s="25"/>
      <c r="E204" s="24"/>
      <c r="F204" s="25"/>
      <c r="G204" s="25"/>
      <c r="I204" s="25"/>
      <c r="J204" s="25">
        <v>0.56000000000000005</v>
      </c>
    </row>
    <row r="205" spans="1:10">
      <c r="A205" s="25"/>
      <c r="B205" s="25"/>
      <c r="C205" s="25"/>
      <c r="D205" s="25"/>
      <c r="E205" s="24"/>
      <c r="F205" s="25"/>
      <c r="G205" s="25"/>
      <c r="I205" s="25"/>
      <c r="J205" s="25"/>
    </row>
    <row r="206" spans="1:10">
      <c r="A206" s="25"/>
      <c r="B206" s="25"/>
      <c r="C206" s="25"/>
      <c r="D206" s="25"/>
      <c r="E206" s="24"/>
      <c r="F206" s="25"/>
      <c r="G206" s="25"/>
      <c r="I206" s="25"/>
      <c r="J206" s="25"/>
    </row>
    <row r="207" spans="1:10">
      <c r="A207" s="25"/>
      <c r="B207" s="25"/>
      <c r="C207" s="25"/>
      <c r="D207" s="25"/>
      <c r="E207" s="24"/>
      <c r="F207" s="25"/>
      <c r="G207" s="25"/>
      <c r="I207" s="25"/>
      <c r="J207" s="25"/>
    </row>
    <row r="208" spans="1:10">
      <c r="A208" s="25"/>
      <c r="B208" s="25"/>
      <c r="C208" s="25"/>
      <c r="D208" s="25"/>
      <c r="E208" s="24"/>
      <c r="F208" s="25"/>
      <c r="G208" s="25"/>
      <c r="I208" s="25"/>
      <c r="J208" s="25"/>
    </row>
    <row r="209" spans="1:10">
      <c r="A209" s="25">
        <v>16</v>
      </c>
      <c r="B209" s="25">
        <v>99</v>
      </c>
      <c r="C209" s="25"/>
      <c r="D209" s="25"/>
      <c r="E209" s="24"/>
      <c r="F209" s="25"/>
      <c r="G209" s="25"/>
      <c r="I209" s="25"/>
      <c r="J209" s="25"/>
    </row>
    <row r="210" spans="1:10">
      <c r="A210" s="25">
        <v>102.41</v>
      </c>
      <c r="B210" s="25">
        <v>4.7060000000000004</v>
      </c>
      <c r="C210" s="25"/>
      <c r="D210" s="25"/>
      <c r="E210" s="24"/>
      <c r="F210" s="25"/>
      <c r="G210" s="25"/>
      <c r="I210" s="25"/>
      <c r="J210" s="25"/>
    </row>
    <row r="211" spans="1:10">
      <c r="A211" s="25"/>
      <c r="B211" s="25">
        <f>100000*B210/((((A210/2)^2)*3.1415926)*B209)</f>
        <v>0.57708810410637523</v>
      </c>
      <c r="C211" s="25"/>
      <c r="D211" s="25"/>
      <c r="E211" s="24"/>
      <c r="F211" s="25"/>
      <c r="G211" s="25"/>
      <c r="I211" s="25"/>
      <c r="J211" s="25"/>
    </row>
    <row r="212" spans="1:10">
      <c r="A212" s="25"/>
      <c r="B212" s="25"/>
      <c r="C212" s="25"/>
      <c r="D212" s="25"/>
      <c r="E212" s="24"/>
      <c r="F212" s="25"/>
      <c r="G212" s="25"/>
      <c r="I212" s="25"/>
      <c r="J212" s="25"/>
    </row>
    <row r="213" spans="1:10">
      <c r="A213" s="25"/>
      <c r="B213" s="25"/>
      <c r="C213" s="25"/>
      <c r="D213" s="25"/>
      <c r="E213" s="24"/>
      <c r="F213" s="25"/>
      <c r="G213" s="25"/>
      <c r="I213" s="25"/>
      <c r="J213" s="25"/>
    </row>
    <row r="214" spans="1:10">
      <c r="A214" s="25"/>
      <c r="B214" s="25"/>
      <c r="C214" s="25"/>
      <c r="D214" s="25"/>
      <c r="E214" s="24"/>
      <c r="F214" s="25"/>
      <c r="G214" s="25"/>
      <c r="I214" s="25"/>
      <c r="J214" s="25"/>
    </row>
    <row r="215" spans="1:10">
      <c r="A215" s="25"/>
      <c r="B215" s="25"/>
      <c r="C215" s="25"/>
      <c r="D215" s="25"/>
      <c r="E215" s="24"/>
      <c r="F215" s="25"/>
      <c r="G215" s="25"/>
      <c r="I215" s="25"/>
      <c r="J215" s="25"/>
    </row>
    <row r="216" spans="1:10">
      <c r="A216" s="25"/>
      <c r="B216" s="25"/>
      <c r="C216" s="25"/>
      <c r="D216" s="25"/>
      <c r="E216" s="24"/>
      <c r="F216" s="25"/>
      <c r="G216" s="25"/>
      <c r="I216" s="25"/>
      <c r="J216" s="25"/>
    </row>
    <row r="217" spans="1:10">
      <c r="A217" s="25"/>
      <c r="B217" s="25"/>
      <c r="C217" s="25"/>
      <c r="D217" s="25"/>
      <c r="E217" s="24"/>
      <c r="F217" s="25"/>
      <c r="G217" s="25"/>
      <c r="I217" s="25"/>
      <c r="J217" s="25"/>
    </row>
    <row r="218" spans="1:10">
      <c r="A218" s="25"/>
      <c r="B218" s="25"/>
      <c r="C218" s="25"/>
      <c r="D218" s="25"/>
      <c r="E218" s="24"/>
      <c r="F218" s="25"/>
      <c r="G218" s="25"/>
      <c r="I218" s="25"/>
      <c r="J218" s="25"/>
    </row>
    <row r="219" spans="1:10">
      <c r="A219" s="25"/>
      <c r="B219" s="25"/>
      <c r="C219" s="25"/>
      <c r="D219" s="25"/>
      <c r="E219" s="24"/>
      <c r="F219" s="25"/>
      <c r="G219" s="25"/>
      <c r="I219" s="25"/>
      <c r="J219" s="25"/>
    </row>
    <row r="220" spans="1:10">
      <c r="A220" s="25"/>
      <c r="B220" s="25"/>
      <c r="C220" s="25"/>
      <c r="D220" s="25"/>
      <c r="E220" s="24"/>
      <c r="F220" s="25"/>
      <c r="G220" s="25"/>
      <c r="I220" s="25"/>
      <c r="J220" s="25"/>
    </row>
    <row r="221" spans="1:10">
      <c r="A221" s="25"/>
      <c r="B221" s="25"/>
      <c r="C221" s="25"/>
      <c r="D221" s="25"/>
      <c r="E221" s="24"/>
      <c r="F221" s="25"/>
      <c r="G221" s="25"/>
      <c r="I221" s="25"/>
      <c r="J221" s="25"/>
    </row>
    <row r="222" spans="1:10">
      <c r="A222" s="25"/>
      <c r="B222" s="25"/>
      <c r="C222" s="25"/>
      <c r="D222" s="25"/>
      <c r="E222" s="24"/>
      <c r="F222" s="25"/>
      <c r="G222" s="25"/>
      <c r="I222" s="25"/>
      <c r="J222" s="25"/>
    </row>
    <row r="223" spans="1:10">
      <c r="A223" s="25"/>
      <c r="B223" s="25"/>
      <c r="C223" s="25"/>
      <c r="D223" s="25"/>
      <c r="E223" s="24"/>
      <c r="F223" s="25">
        <v>16</v>
      </c>
      <c r="G223" s="25">
        <v>98.5</v>
      </c>
      <c r="I223" s="25"/>
      <c r="J223" s="25"/>
    </row>
    <row r="224" spans="1:10">
      <c r="A224" s="25"/>
      <c r="B224" s="25"/>
      <c r="C224" s="25"/>
      <c r="D224" s="25"/>
      <c r="E224" s="24"/>
      <c r="F224" s="25">
        <v>101.81</v>
      </c>
      <c r="G224" s="25">
        <v>4.5140000000000002</v>
      </c>
      <c r="I224" s="25"/>
      <c r="J224" s="25"/>
    </row>
    <row r="225" spans="1:10">
      <c r="A225" s="25"/>
      <c r="B225" s="25"/>
      <c r="C225" s="25"/>
      <c r="D225" s="25"/>
      <c r="E225" s="24"/>
      <c r="F225" s="25"/>
      <c r="G225" s="25">
        <v>0.56299999999999994</v>
      </c>
      <c r="I225" s="25"/>
      <c r="J225" s="25"/>
    </row>
    <row r="226" spans="1:10">
      <c r="A226" s="25"/>
      <c r="B226" s="25"/>
      <c r="C226" s="25"/>
      <c r="D226" s="25"/>
      <c r="E226" s="24"/>
      <c r="F226" s="25"/>
      <c r="G226" s="25"/>
      <c r="I226" s="25">
        <v>15</v>
      </c>
      <c r="J226" s="25">
        <v>100.5</v>
      </c>
    </row>
    <row r="227" spans="1:10">
      <c r="A227" s="25"/>
      <c r="B227" s="25"/>
      <c r="C227" s="25"/>
      <c r="D227" s="25"/>
      <c r="E227" s="24"/>
      <c r="F227" s="25"/>
      <c r="G227" s="25"/>
      <c r="I227" s="25">
        <v>101.3</v>
      </c>
      <c r="J227" s="25">
        <v>4.6870000000000003</v>
      </c>
    </row>
    <row r="228" spans="1:10">
      <c r="A228" s="25"/>
      <c r="B228" s="25"/>
      <c r="C228" s="25"/>
      <c r="D228" s="25"/>
      <c r="E228" s="24"/>
      <c r="F228" s="25"/>
      <c r="G228" s="25"/>
      <c r="I228" s="25"/>
      <c r="J228" s="25">
        <v>0.57899999999999996</v>
      </c>
    </row>
    <row r="229" spans="1:10">
      <c r="A229" s="25"/>
      <c r="B229" s="25"/>
      <c r="C229" s="25"/>
      <c r="D229" s="25"/>
      <c r="E229" s="24"/>
      <c r="F229" s="25"/>
      <c r="G229" s="25"/>
      <c r="I229" s="25"/>
      <c r="J229" s="25"/>
    </row>
    <row r="230" spans="1:10">
      <c r="A230" s="25">
        <v>17</v>
      </c>
      <c r="B230" s="25">
        <v>97</v>
      </c>
      <c r="C230" s="25"/>
      <c r="D230" s="25"/>
      <c r="E230" s="24"/>
      <c r="F230" s="25"/>
      <c r="G230" s="25"/>
      <c r="I230" s="25"/>
      <c r="J230" s="25"/>
    </row>
    <row r="231" spans="1:10">
      <c r="A231" s="25">
        <v>102.91</v>
      </c>
      <c r="B231" s="25">
        <v>4.702</v>
      </c>
      <c r="C231" s="25"/>
      <c r="D231" s="25"/>
      <c r="E231" s="24"/>
      <c r="F231" s="25"/>
      <c r="G231" s="25"/>
      <c r="I231" s="25"/>
      <c r="J231" s="25"/>
    </row>
    <row r="232" spans="1:10">
      <c r="A232" s="25"/>
      <c r="B232" s="25">
        <f>100000*B231/((((A231/2)^2)*3.1415926)*B230)</f>
        <v>0.58278163852161846</v>
      </c>
      <c r="C232" s="25"/>
      <c r="D232" s="25"/>
      <c r="E232" s="24"/>
      <c r="F232" s="25"/>
      <c r="G232" s="25"/>
      <c r="I232" s="25"/>
      <c r="J232" s="25"/>
    </row>
    <row r="233" spans="1:10">
      <c r="A233" s="25"/>
      <c r="B233" s="25"/>
      <c r="C233" s="25"/>
      <c r="D233" s="25"/>
      <c r="E233" s="24"/>
      <c r="F233" s="25"/>
      <c r="G233" s="25"/>
      <c r="I233" s="25"/>
      <c r="J233" s="25"/>
    </row>
    <row r="234" spans="1:10">
      <c r="A234" s="25"/>
      <c r="B234" s="25"/>
      <c r="C234" s="25"/>
      <c r="D234" s="25"/>
      <c r="E234" s="24"/>
      <c r="F234" s="25"/>
      <c r="G234" s="25"/>
      <c r="I234" s="25"/>
      <c r="J234" s="25"/>
    </row>
    <row r="235" spans="1:10">
      <c r="A235" s="25"/>
      <c r="B235" s="25"/>
      <c r="C235" s="25"/>
      <c r="D235" s="25"/>
      <c r="E235" s="24"/>
      <c r="F235" s="25"/>
      <c r="G235" s="25"/>
      <c r="I235" s="25"/>
      <c r="J235" s="25"/>
    </row>
    <row r="236" spans="1:10">
      <c r="A236" s="25"/>
      <c r="B236" s="25"/>
      <c r="C236" s="25"/>
      <c r="D236" s="25"/>
      <c r="E236" s="24"/>
      <c r="F236" s="25"/>
      <c r="G236" s="25"/>
      <c r="I236" s="25"/>
      <c r="J236" s="25"/>
    </row>
    <row r="237" spans="1:10">
      <c r="A237" s="25"/>
      <c r="B237" s="25"/>
      <c r="C237" s="25"/>
      <c r="D237" s="25"/>
      <c r="E237" s="24"/>
      <c r="F237" s="25"/>
      <c r="G237" s="25"/>
      <c r="I237" s="25"/>
      <c r="J237" s="25"/>
    </row>
    <row r="238" spans="1:10">
      <c r="A238" s="25"/>
      <c r="B238" s="25"/>
      <c r="C238" s="25"/>
      <c r="D238" s="25"/>
      <c r="E238" s="24"/>
      <c r="F238" s="25"/>
      <c r="G238" s="25"/>
      <c r="I238" s="25"/>
      <c r="J238" s="25"/>
    </row>
    <row r="239" spans="1:10">
      <c r="A239" s="25"/>
      <c r="B239" s="25"/>
      <c r="C239" s="25"/>
      <c r="D239" s="25"/>
      <c r="E239" s="24"/>
      <c r="F239" s="25"/>
      <c r="G239" s="25"/>
      <c r="I239" s="25"/>
      <c r="J239" s="25"/>
    </row>
    <row r="240" spans="1:10">
      <c r="A240" s="25"/>
      <c r="B240" s="25"/>
      <c r="C240" s="25"/>
      <c r="D240" s="25"/>
      <c r="E240" s="24"/>
      <c r="F240" s="25"/>
      <c r="G240" s="25"/>
      <c r="I240" s="25"/>
      <c r="J240" s="25"/>
    </row>
    <row r="241" spans="1:10">
      <c r="A241" s="25"/>
      <c r="B241" s="25"/>
      <c r="C241" s="25"/>
      <c r="D241" s="25"/>
      <c r="E241" s="24"/>
      <c r="F241" s="25"/>
      <c r="G241" s="25"/>
      <c r="I241" s="25"/>
      <c r="J241" s="25"/>
    </row>
    <row r="242" spans="1:10">
      <c r="A242" s="25"/>
      <c r="B242" s="25"/>
      <c r="C242" s="25"/>
      <c r="D242" s="25"/>
      <c r="E242" s="24"/>
      <c r="F242" s="25"/>
      <c r="G242" s="25"/>
      <c r="I242" s="25"/>
      <c r="J242" s="25"/>
    </row>
    <row r="243" spans="1:10">
      <c r="A243" s="25"/>
      <c r="B243" s="25"/>
      <c r="C243" s="25"/>
      <c r="D243" s="25"/>
      <c r="E243" s="24"/>
      <c r="F243" s="25"/>
      <c r="G243" s="25"/>
      <c r="I243" s="25"/>
      <c r="J243" s="25"/>
    </row>
    <row r="244" spans="1:10">
      <c r="A244" s="25"/>
      <c r="B244" s="25"/>
      <c r="C244" s="25"/>
      <c r="D244" s="25"/>
      <c r="E244" s="24"/>
      <c r="F244" s="25"/>
      <c r="G244" s="25"/>
      <c r="I244" s="25"/>
      <c r="J244" s="25"/>
    </row>
    <row r="245" spans="1:10">
      <c r="A245" s="25">
        <v>18</v>
      </c>
      <c r="B245" s="25">
        <v>99</v>
      </c>
      <c r="C245" s="25"/>
      <c r="D245" s="25"/>
      <c r="E245" s="24"/>
      <c r="F245" s="25"/>
      <c r="G245" s="25"/>
      <c r="I245" s="25"/>
      <c r="J245" s="25"/>
    </row>
    <row r="246" spans="1:10">
      <c r="A246" s="25">
        <v>101.12</v>
      </c>
      <c r="B246" s="25">
        <v>4.835</v>
      </c>
      <c r="C246" s="25"/>
      <c r="D246" s="25"/>
      <c r="E246" s="24"/>
      <c r="F246" s="25"/>
      <c r="G246" s="25"/>
      <c r="I246" s="25"/>
      <c r="J246" s="25"/>
    </row>
    <row r="247" spans="1:10">
      <c r="A247" s="25"/>
      <c r="B247" s="25">
        <f>100000*B246/((((A246/2)^2)*3.1415926)*B245)</f>
        <v>0.608131203705914</v>
      </c>
      <c r="C247" s="25"/>
      <c r="D247" s="25"/>
      <c r="E247" s="24"/>
      <c r="F247" s="25">
        <v>17</v>
      </c>
      <c r="G247" s="25">
        <v>99</v>
      </c>
      <c r="I247" s="25"/>
      <c r="J247" s="25"/>
    </row>
    <row r="248" spans="1:10">
      <c r="A248" s="25"/>
      <c r="B248" s="25"/>
      <c r="C248" s="25"/>
      <c r="D248" s="25"/>
      <c r="E248" s="24"/>
      <c r="F248" s="25">
        <v>102.02</v>
      </c>
      <c r="G248" s="25">
        <v>4.6219999999999999</v>
      </c>
      <c r="I248" s="25"/>
      <c r="J248" s="25"/>
    </row>
    <row r="249" spans="1:10">
      <c r="A249" s="25"/>
      <c r="B249" s="25"/>
      <c r="C249" s="25"/>
      <c r="D249" s="25"/>
      <c r="E249" s="24"/>
      <c r="F249" s="25"/>
      <c r="G249" s="25">
        <v>0.57099999999999995</v>
      </c>
      <c r="I249" s="25"/>
      <c r="J249" s="25"/>
    </row>
    <row r="250" spans="1:10">
      <c r="A250" s="25"/>
      <c r="B250" s="25"/>
      <c r="C250" s="25"/>
      <c r="D250" s="25"/>
      <c r="E250" s="24"/>
      <c r="F250" s="25"/>
      <c r="G250" s="25"/>
      <c r="I250" s="25"/>
      <c r="J250" s="25"/>
    </row>
    <row r="251" spans="1:10">
      <c r="A251" s="25"/>
      <c r="B251" s="25"/>
      <c r="C251" s="25"/>
      <c r="D251" s="25"/>
      <c r="E251" s="24"/>
      <c r="F251" s="25"/>
      <c r="G251" s="25"/>
      <c r="I251" s="25">
        <v>16</v>
      </c>
      <c r="J251" s="25">
        <v>100</v>
      </c>
    </row>
    <row r="252" spans="1:10">
      <c r="A252" s="25"/>
      <c r="B252" s="25"/>
      <c r="C252" s="25"/>
      <c r="D252" s="25"/>
      <c r="E252" s="24"/>
      <c r="F252" s="25"/>
      <c r="G252" s="25"/>
      <c r="I252" s="25">
        <v>102.72</v>
      </c>
      <c r="J252" s="25">
        <v>4.8239999999999998</v>
      </c>
    </row>
    <row r="253" spans="1:10">
      <c r="A253" s="25"/>
      <c r="B253" s="25"/>
      <c r="C253" s="25"/>
      <c r="D253" s="25"/>
      <c r="E253" s="24"/>
      <c r="F253" s="25"/>
      <c r="G253" s="25"/>
      <c r="I253" s="25"/>
      <c r="J253" s="25">
        <v>0.58199999999999996</v>
      </c>
    </row>
    <row r="254" spans="1:10">
      <c r="A254" s="25"/>
      <c r="B254" s="25"/>
      <c r="C254" s="25"/>
      <c r="D254" s="25"/>
      <c r="E254" s="24"/>
      <c r="F254" s="25"/>
      <c r="G254" s="25"/>
      <c r="I254" s="25"/>
      <c r="J254" s="25"/>
    </row>
    <row r="255" spans="1:10">
      <c r="A255" s="25"/>
      <c r="B255" s="25"/>
      <c r="C255" s="25"/>
      <c r="D255" s="25"/>
      <c r="E255" s="24"/>
      <c r="F255" s="25"/>
      <c r="G255" s="25"/>
      <c r="I255" s="25"/>
      <c r="J255" s="25"/>
    </row>
    <row r="256" spans="1:10">
      <c r="A256" s="25"/>
      <c r="B256" s="25"/>
      <c r="C256" s="25"/>
      <c r="D256" s="25"/>
      <c r="E256" s="24"/>
      <c r="F256" s="25"/>
      <c r="G256" s="25"/>
      <c r="I256" s="25"/>
      <c r="J256" s="25"/>
    </row>
    <row r="257" spans="1:10">
      <c r="A257" s="25"/>
      <c r="B257" s="25"/>
      <c r="C257" s="25"/>
      <c r="D257" s="25"/>
      <c r="E257" s="24"/>
      <c r="F257" s="25"/>
      <c r="G257" s="25"/>
      <c r="I257" s="25"/>
      <c r="J257" s="25"/>
    </row>
    <row r="258" spans="1:10">
      <c r="A258" s="25">
        <v>19</v>
      </c>
      <c r="B258" s="25">
        <v>100</v>
      </c>
      <c r="C258" s="25"/>
      <c r="D258" s="25"/>
      <c r="E258" s="24"/>
      <c r="F258" s="25"/>
      <c r="G258" s="25"/>
      <c r="I258" s="25"/>
      <c r="J258" s="25"/>
    </row>
    <row r="259" spans="1:10">
      <c r="A259" s="25">
        <v>102.62</v>
      </c>
      <c r="B259" s="25">
        <v>4.9249999999999998</v>
      </c>
      <c r="C259" s="25"/>
      <c r="D259" s="25"/>
      <c r="E259" s="24"/>
      <c r="F259" s="25"/>
      <c r="G259" s="25"/>
      <c r="I259" s="25"/>
      <c r="J259" s="25"/>
    </row>
    <row r="260" spans="1:10">
      <c r="A260" s="25"/>
      <c r="B260" s="25">
        <f>100000*B259/((((A259/2)^2)*3.1415926)*B258)</f>
        <v>0.59545965332032658</v>
      </c>
      <c r="C260" s="25"/>
      <c r="D260" s="25"/>
      <c r="E260" s="24"/>
      <c r="F260" s="25"/>
      <c r="G260" s="25"/>
      <c r="I260" s="25"/>
      <c r="J260" s="25"/>
    </row>
    <row r="261" spans="1:10">
      <c r="A261" s="25"/>
      <c r="B261" s="25"/>
      <c r="C261" s="25"/>
      <c r="D261" s="25"/>
      <c r="E261" s="24"/>
      <c r="F261" s="25"/>
      <c r="G261" s="25"/>
      <c r="I261" s="25"/>
      <c r="J261" s="25"/>
    </row>
    <row r="262" spans="1:10">
      <c r="A262" s="25"/>
      <c r="B262" s="25"/>
      <c r="C262" s="25"/>
      <c r="D262" s="25"/>
      <c r="E262" s="24"/>
      <c r="F262" s="25"/>
      <c r="G262" s="25"/>
      <c r="I262" s="25"/>
      <c r="J262" s="25"/>
    </row>
    <row r="263" spans="1:10">
      <c r="A263" s="25"/>
      <c r="B263" s="25"/>
      <c r="C263" s="25"/>
      <c r="D263" s="25"/>
      <c r="E263" s="24"/>
      <c r="F263" s="25"/>
      <c r="G263" s="25"/>
      <c r="I263" s="25"/>
      <c r="J263" s="25"/>
    </row>
    <row r="264" spans="1:10">
      <c r="A264" s="25"/>
      <c r="B264" s="25"/>
      <c r="C264" s="25"/>
      <c r="D264" s="25"/>
      <c r="E264" s="24"/>
      <c r="F264" s="25"/>
      <c r="G264" s="25"/>
      <c r="I264" s="25"/>
      <c r="J264" s="25"/>
    </row>
    <row r="265" spans="1:10">
      <c r="A265" s="25"/>
      <c r="B265" s="25"/>
      <c r="C265" s="25"/>
      <c r="D265" s="25"/>
      <c r="E265" s="24"/>
      <c r="F265" s="25">
        <v>18</v>
      </c>
      <c r="G265" s="25">
        <v>100</v>
      </c>
      <c r="I265" s="25">
        <v>17</v>
      </c>
      <c r="J265" s="25">
        <v>100</v>
      </c>
    </row>
    <row r="266" spans="1:10">
      <c r="A266" s="25"/>
      <c r="B266" s="25"/>
      <c r="C266" s="25"/>
      <c r="D266" s="25"/>
      <c r="E266" s="24"/>
      <c r="F266" s="25">
        <v>102.33</v>
      </c>
      <c r="G266" s="25">
        <v>4.7830000000000004</v>
      </c>
      <c r="I266" s="25">
        <v>102.16</v>
      </c>
      <c r="J266" s="25">
        <v>4.8250000000000002</v>
      </c>
    </row>
    <row r="267" spans="1:10">
      <c r="A267" s="25"/>
      <c r="B267" s="25"/>
      <c r="C267" s="25"/>
      <c r="D267" s="25"/>
      <c r="E267" s="24"/>
      <c r="F267" s="25"/>
      <c r="G267" s="25">
        <v>0.58199999999999996</v>
      </c>
      <c r="I267" s="25"/>
      <c r="J267" s="25">
        <v>0.58899999999999997</v>
      </c>
    </row>
    <row r="268" spans="1:10">
      <c r="A268" s="25"/>
      <c r="B268" s="25"/>
      <c r="C268" s="25"/>
      <c r="D268" s="25"/>
      <c r="E268" s="24"/>
      <c r="F268" s="25"/>
      <c r="G268" s="25"/>
      <c r="I268" s="25"/>
      <c r="J268" s="25"/>
    </row>
    <row r="269" spans="1:10">
      <c r="A269" s="25"/>
      <c r="B269" s="25"/>
      <c r="C269" s="25"/>
      <c r="D269" s="25"/>
      <c r="E269" s="24"/>
      <c r="F269" s="25"/>
      <c r="G269" s="25"/>
      <c r="I269" s="25"/>
      <c r="J269" s="25"/>
    </row>
    <row r="270" spans="1:10">
      <c r="A270" s="25"/>
      <c r="B270" s="25"/>
      <c r="C270" s="25"/>
      <c r="D270" s="25"/>
      <c r="E270" s="24"/>
      <c r="F270" s="25"/>
      <c r="G270" s="25"/>
      <c r="I270" s="25"/>
      <c r="J270" s="25"/>
    </row>
    <row r="271" spans="1:10">
      <c r="A271" s="25"/>
      <c r="B271" s="25"/>
      <c r="C271" s="25"/>
      <c r="D271" s="25"/>
      <c r="E271" s="24"/>
      <c r="F271" s="25"/>
      <c r="G271" s="25"/>
      <c r="I271" s="25"/>
      <c r="J271" s="25"/>
    </row>
    <row r="272" spans="1:10">
      <c r="A272" s="25"/>
      <c r="B272" s="25"/>
      <c r="C272" s="25"/>
      <c r="D272" s="25"/>
      <c r="E272" s="24"/>
      <c r="F272" s="25"/>
      <c r="G272" s="25"/>
      <c r="I272" s="25"/>
      <c r="J272" s="25"/>
    </row>
    <row r="273" spans="1:10">
      <c r="A273" s="25"/>
      <c r="B273" s="25"/>
      <c r="C273" s="25"/>
      <c r="D273" s="25"/>
      <c r="E273" s="24"/>
      <c r="F273" s="25"/>
      <c r="G273" s="25"/>
      <c r="I273" s="25"/>
      <c r="J273" s="25"/>
    </row>
    <row r="274" spans="1:10">
      <c r="A274" s="25"/>
      <c r="B274" s="25"/>
      <c r="C274" s="25"/>
      <c r="D274" s="25"/>
      <c r="E274" s="24"/>
      <c r="F274" s="25"/>
      <c r="G274" s="25"/>
      <c r="I274" s="25"/>
      <c r="J274" s="25"/>
    </row>
    <row r="275" spans="1:10">
      <c r="A275" s="25"/>
      <c r="B275" s="25"/>
      <c r="C275" s="25"/>
      <c r="D275" s="25"/>
      <c r="E275" s="24"/>
      <c r="F275" s="25"/>
      <c r="G275" s="25"/>
      <c r="I275" s="25"/>
      <c r="J275" s="25"/>
    </row>
    <row r="276" spans="1:10">
      <c r="A276" s="25">
        <v>20</v>
      </c>
      <c r="B276" s="25">
        <v>95.5</v>
      </c>
      <c r="C276" s="25"/>
      <c r="D276" s="25"/>
      <c r="E276" s="24"/>
      <c r="F276" s="25">
        <v>19</v>
      </c>
      <c r="G276" s="25">
        <v>98</v>
      </c>
      <c r="I276" s="25"/>
      <c r="J276" s="25"/>
    </row>
    <row r="277" spans="1:10">
      <c r="A277" s="25">
        <v>102.16</v>
      </c>
      <c r="B277" s="25">
        <v>4.8280000000000003</v>
      </c>
      <c r="C277" s="25"/>
      <c r="D277" s="25"/>
      <c r="E277" s="24"/>
      <c r="F277" s="25">
        <v>102.64</v>
      </c>
      <c r="G277" s="25">
        <v>4.7590000000000003</v>
      </c>
      <c r="I277" s="25"/>
      <c r="J277" s="25"/>
    </row>
    <row r="278" spans="1:10">
      <c r="A278" s="25"/>
      <c r="B278" s="25">
        <f>100000*B277/((((A277/2)^2)*3.1415926)*B276)</f>
        <v>0.6167543870641774</v>
      </c>
      <c r="C278" s="25"/>
      <c r="D278" s="25"/>
      <c r="E278" s="24"/>
      <c r="F278" s="25"/>
      <c r="G278" s="25">
        <v>0.58699999999999997</v>
      </c>
      <c r="I278" s="25"/>
      <c r="J278" s="25"/>
    </row>
    <row r="279" spans="1:10">
      <c r="A279" s="25"/>
      <c r="B279" s="25"/>
      <c r="C279" s="25"/>
      <c r="D279" s="25"/>
      <c r="E279" s="24"/>
      <c r="F279" s="25"/>
      <c r="G279" s="25"/>
      <c r="I279" s="25"/>
      <c r="J279" s="25"/>
    </row>
    <row r="280" spans="1:10">
      <c r="A280" s="25"/>
      <c r="B280" s="25"/>
      <c r="C280" s="25"/>
      <c r="D280" s="25"/>
      <c r="E280" s="24"/>
      <c r="F280" s="25"/>
      <c r="G280" s="25"/>
      <c r="I280" s="25">
        <v>18</v>
      </c>
      <c r="J280" s="25">
        <v>100</v>
      </c>
    </row>
    <row r="281" spans="1:10">
      <c r="A281" s="25"/>
      <c r="B281" s="25"/>
      <c r="C281" s="25"/>
      <c r="D281" s="25"/>
      <c r="E281" s="24"/>
      <c r="F281" s="25"/>
      <c r="G281" s="25"/>
      <c r="I281" s="25">
        <v>101.59</v>
      </c>
      <c r="J281" s="25">
        <v>4.8099999999999996</v>
      </c>
    </row>
    <row r="282" spans="1:10">
      <c r="A282" s="25"/>
      <c r="B282" s="25"/>
      <c r="C282" s="25"/>
      <c r="D282" s="25"/>
      <c r="E282" s="24"/>
      <c r="F282" s="25"/>
      <c r="G282" s="25"/>
      <c r="I282" s="25"/>
      <c r="J282" s="25">
        <v>0.59299999999999997</v>
      </c>
    </row>
    <row r="283" spans="1:10">
      <c r="A283" s="25"/>
      <c r="B283" s="25"/>
      <c r="C283" s="25"/>
      <c r="D283" s="25"/>
      <c r="E283" s="24"/>
      <c r="F283" s="25"/>
      <c r="G283" s="25"/>
      <c r="I283" s="25"/>
      <c r="J283" s="25"/>
    </row>
    <row r="284" spans="1:10">
      <c r="A284" s="25"/>
      <c r="B284" s="25"/>
      <c r="C284" s="25"/>
      <c r="D284" s="25"/>
      <c r="E284" s="24"/>
      <c r="F284" s="25"/>
      <c r="G284" s="25"/>
      <c r="I284" s="25"/>
      <c r="J284" s="25"/>
    </row>
    <row r="285" spans="1:10">
      <c r="A285" s="25"/>
      <c r="B285" s="25"/>
      <c r="C285" s="25"/>
      <c r="D285" s="25"/>
      <c r="E285" s="24"/>
      <c r="F285" s="25"/>
      <c r="G285" s="25"/>
      <c r="I285" s="25"/>
      <c r="J285" s="25"/>
    </row>
    <row r="286" spans="1:10">
      <c r="A286" s="25"/>
      <c r="B286" s="25"/>
      <c r="C286" s="25"/>
      <c r="D286" s="25"/>
      <c r="E286" s="24"/>
      <c r="F286" s="25"/>
      <c r="G286" s="25"/>
      <c r="I286" s="25"/>
      <c r="J286" s="25"/>
    </row>
    <row r="287" spans="1:10">
      <c r="A287" s="25"/>
      <c r="B287" s="25"/>
      <c r="C287" s="25"/>
      <c r="D287" s="25"/>
      <c r="E287" s="24"/>
      <c r="F287" s="25"/>
      <c r="G287" s="25"/>
      <c r="I287" s="25"/>
      <c r="J287" s="25"/>
    </row>
    <row r="288" spans="1:10">
      <c r="A288" s="25"/>
      <c r="B288" s="25"/>
      <c r="C288" s="25"/>
      <c r="D288" s="25"/>
      <c r="E288" s="24"/>
      <c r="F288" s="25"/>
      <c r="G288" s="25"/>
      <c r="I288" s="25"/>
      <c r="J288" s="25"/>
    </row>
    <row r="289" spans="1:10">
      <c r="A289" s="25">
        <v>21</v>
      </c>
      <c r="B289" s="25">
        <v>101</v>
      </c>
      <c r="C289" s="25"/>
      <c r="D289" s="25"/>
      <c r="E289" s="24"/>
      <c r="F289" s="25"/>
      <c r="G289" s="25"/>
      <c r="I289" s="25"/>
      <c r="J289" s="25"/>
    </row>
    <row r="290" spans="1:10">
      <c r="A290" s="25">
        <v>102.67</v>
      </c>
      <c r="B290" s="25">
        <v>5.1349999999999998</v>
      </c>
      <c r="C290" s="25"/>
      <c r="D290" s="25"/>
      <c r="E290" s="24"/>
      <c r="F290" s="25"/>
      <c r="G290" s="25"/>
      <c r="I290" s="25"/>
      <c r="J290" s="25"/>
    </row>
    <row r="291" spans="1:10">
      <c r="A291" s="25"/>
      <c r="B291" s="25">
        <f>100000*B290/((((A290/2)^2)*3.1415926)*B289)</f>
        <v>0.61410421204232302</v>
      </c>
      <c r="C291" s="25"/>
      <c r="D291" s="25"/>
      <c r="E291" s="24"/>
      <c r="F291" s="25"/>
      <c r="G291" s="25"/>
      <c r="I291" s="25"/>
      <c r="J291" s="25"/>
    </row>
    <row r="292" spans="1:10">
      <c r="A292" s="25"/>
      <c r="B292" s="25"/>
      <c r="C292" s="25"/>
      <c r="D292" s="25"/>
      <c r="E292" s="24"/>
      <c r="F292" s="25"/>
      <c r="G292" s="25"/>
      <c r="I292" s="25"/>
      <c r="J292" s="25"/>
    </row>
    <row r="293" spans="1:10">
      <c r="A293" s="25"/>
      <c r="B293" s="25"/>
      <c r="C293" s="25"/>
      <c r="D293" s="25"/>
      <c r="E293" s="24"/>
      <c r="F293" s="25"/>
      <c r="G293" s="25"/>
      <c r="I293" s="25"/>
      <c r="J293" s="25"/>
    </row>
    <row r="294" spans="1:10">
      <c r="A294" s="25"/>
      <c r="B294" s="25"/>
      <c r="C294" s="25"/>
      <c r="D294" s="25"/>
      <c r="E294" s="24"/>
      <c r="F294" s="25"/>
      <c r="G294" s="25"/>
      <c r="I294" s="25"/>
      <c r="J294" s="25"/>
    </row>
    <row r="295" spans="1:10">
      <c r="A295" s="25"/>
      <c r="B295" s="25"/>
      <c r="C295" s="25"/>
      <c r="D295" s="25"/>
      <c r="E295" s="24"/>
      <c r="F295" s="25"/>
      <c r="G295" s="25"/>
      <c r="I295" s="25"/>
      <c r="J295" s="25"/>
    </row>
    <row r="296" spans="1:10">
      <c r="A296" s="25"/>
      <c r="B296" s="25"/>
      <c r="C296" s="25"/>
      <c r="D296" s="25"/>
      <c r="E296" s="24"/>
      <c r="F296" s="25"/>
      <c r="G296" s="25"/>
      <c r="I296" s="25"/>
      <c r="J296" s="25"/>
    </row>
    <row r="297" spans="1:10">
      <c r="A297" s="25"/>
      <c r="B297" s="25"/>
      <c r="C297" s="25"/>
      <c r="D297" s="25"/>
      <c r="E297" s="24"/>
      <c r="F297" s="25"/>
      <c r="G297" s="25"/>
      <c r="I297" s="25"/>
      <c r="J297" s="25"/>
    </row>
    <row r="298" spans="1:10">
      <c r="A298" s="25"/>
      <c r="B298" s="25"/>
      <c r="C298" s="25"/>
      <c r="D298" s="25"/>
      <c r="E298" s="24"/>
      <c r="F298" s="25">
        <v>20</v>
      </c>
      <c r="G298" s="25">
        <v>50.5</v>
      </c>
      <c r="I298" s="25"/>
      <c r="J298" s="25"/>
    </row>
    <row r="299" spans="1:10">
      <c r="A299" s="25"/>
      <c r="B299" s="25"/>
      <c r="C299" s="25"/>
      <c r="D299" s="25"/>
      <c r="E299" s="24"/>
      <c r="F299" s="25">
        <v>102.52</v>
      </c>
      <c r="G299" s="25">
        <v>2.4649999999999999</v>
      </c>
      <c r="I299" s="25"/>
      <c r="J299" s="25"/>
    </row>
    <row r="300" spans="1:10">
      <c r="A300" s="25"/>
      <c r="B300" s="25"/>
      <c r="C300" s="25"/>
      <c r="D300" s="25"/>
      <c r="E300" s="24"/>
      <c r="F300" s="25"/>
      <c r="G300" s="25">
        <v>0.59099999999999997</v>
      </c>
      <c r="I300" s="25"/>
      <c r="J300" s="25"/>
    </row>
    <row r="301" spans="1:10">
      <c r="A301" s="25"/>
      <c r="B301" s="25"/>
      <c r="C301" s="25"/>
      <c r="D301" s="25"/>
      <c r="E301" s="24"/>
      <c r="F301" s="25"/>
      <c r="G301" s="25"/>
      <c r="I301" s="25"/>
      <c r="J301" s="25"/>
    </row>
    <row r="302" spans="1:10">
      <c r="A302" s="25"/>
      <c r="B302" s="25"/>
      <c r="C302" s="25"/>
      <c r="D302" s="25"/>
      <c r="E302" s="24"/>
      <c r="F302" s="25"/>
      <c r="G302" s="25"/>
      <c r="I302" s="25"/>
      <c r="J302" s="25"/>
    </row>
    <row r="303" spans="1:10">
      <c r="A303" s="25"/>
      <c r="B303" s="25"/>
      <c r="C303" s="25"/>
      <c r="D303" s="25"/>
      <c r="E303" s="24"/>
      <c r="F303" s="25"/>
      <c r="G303" s="25"/>
      <c r="I303" s="25"/>
      <c r="J303" s="25"/>
    </row>
    <row r="304" spans="1:10">
      <c r="A304" s="25"/>
      <c r="B304" s="25"/>
      <c r="C304" s="25"/>
      <c r="D304" s="25"/>
      <c r="E304" s="24"/>
      <c r="F304" s="25"/>
      <c r="G304" s="25"/>
      <c r="I304" s="25">
        <v>19</v>
      </c>
      <c r="J304" s="25">
        <v>70.5</v>
      </c>
    </row>
    <row r="305" spans="1:10">
      <c r="A305" s="25">
        <v>22</v>
      </c>
      <c r="B305" s="25">
        <v>101.5</v>
      </c>
      <c r="C305" s="25"/>
      <c r="D305" s="25"/>
      <c r="E305" s="24"/>
      <c r="F305" s="25"/>
      <c r="G305" s="25"/>
      <c r="I305" s="25">
        <v>102.69</v>
      </c>
      <c r="J305" s="25">
        <v>3.536</v>
      </c>
    </row>
    <row r="306" spans="1:10">
      <c r="A306" s="25">
        <v>102.45</v>
      </c>
      <c r="B306" s="25">
        <v>5.181</v>
      </c>
      <c r="C306" s="25"/>
      <c r="D306" s="25"/>
      <c r="E306" s="24"/>
      <c r="F306" s="25"/>
      <c r="G306" s="25"/>
      <c r="I306" s="25"/>
      <c r="J306" s="25">
        <v>0.60599999999999998</v>
      </c>
    </row>
    <row r="307" spans="1:10">
      <c r="A307" s="25"/>
      <c r="B307" s="25">
        <f>100000*B306/((((A306/2)^2)*3.1415926)*B305)</f>
        <v>0.6192039963213315</v>
      </c>
      <c r="C307" s="25"/>
      <c r="D307" s="25"/>
      <c r="E307" s="24"/>
      <c r="F307" s="25"/>
      <c r="G307" s="25"/>
      <c r="I307" s="25"/>
      <c r="J307" s="25"/>
    </row>
    <row r="308" spans="1:10">
      <c r="A308" s="25"/>
      <c r="B308" s="25"/>
      <c r="C308" s="25"/>
      <c r="D308" s="25"/>
      <c r="E308" s="24"/>
      <c r="F308" s="25"/>
      <c r="G308" s="25"/>
      <c r="I308" s="25"/>
      <c r="J308" s="25"/>
    </row>
    <row r="309" spans="1:10">
      <c r="A309" s="25"/>
      <c r="B309" s="25"/>
      <c r="C309" s="25"/>
      <c r="D309" s="25"/>
      <c r="E309" s="24"/>
      <c r="F309" s="25"/>
      <c r="G309" s="25"/>
      <c r="I309" s="25"/>
      <c r="J309" s="25"/>
    </row>
    <row r="310" spans="1:10">
      <c r="A310" s="25"/>
      <c r="B310" s="25"/>
      <c r="C310" s="25"/>
      <c r="D310" s="25"/>
      <c r="E310" s="24"/>
      <c r="F310" s="25"/>
      <c r="G310" s="25"/>
      <c r="I310" s="25"/>
      <c r="J310" s="25"/>
    </row>
    <row r="311" spans="1:10">
      <c r="A311" s="25"/>
      <c r="B311" s="25"/>
      <c r="C311" s="25"/>
      <c r="D311" s="25"/>
      <c r="E311" s="24"/>
      <c r="F311" s="25"/>
      <c r="G311" s="25"/>
      <c r="I311" s="25"/>
      <c r="J311" s="25"/>
    </row>
    <row r="312" spans="1:10">
      <c r="A312" s="25"/>
      <c r="B312" s="25"/>
      <c r="C312" s="25"/>
      <c r="D312" s="25"/>
      <c r="E312" s="24"/>
      <c r="F312" s="25"/>
      <c r="G312" s="25"/>
      <c r="I312" s="25"/>
      <c r="J312" s="25"/>
    </row>
    <row r="313" spans="1:10">
      <c r="A313" s="25"/>
      <c r="B313" s="25"/>
      <c r="C313" s="25"/>
      <c r="D313" s="25"/>
      <c r="E313" s="24"/>
      <c r="F313" s="25"/>
      <c r="G313" s="25"/>
      <c r="I313" s="25"/>
      <c r="J313" s="25"/>
    </row>
    <row r="314" spans="1:10">
      <c r="A314" s="25"/>
      <c r="B314" s="25"/>
      <c r="C314" s="25"/>
      <c r="D314" s="25"/>
      <c r="E314" s="24"/>
      <c r="F314" s="25"/>
      <c r="G314" s="25"/>
      <c r="I314" s="25"/>
      <c r="J314" s="25"/>
    </row>
    <row r="315" spans="1:10">
      <c r="A315" s="25"/>
      <c r="B315" s="25"/>
      <c r="C315" s="25"/>
      <c r="D315" s="25"/>
      <c r="E315" s="24"/>
      <c r="F315" s="25"/>
      <c r="G315" s="25"/>
      <c r="I315" s="25"/>
      <c r="J315" s="25"/>
    </row>
    <row r="316" spans="1:10">
      <c r="A316" s="25"/>
      <c r="B316" s="25"/>
      <c r="C316" s="25"/>
      <c r="D316" s="25"/>
      <c r="E316" s="24"/>
      <c r="F316" s="25"/>
      <c r="G316" s="25"/>
      <c r="I316" s="25"/>
      <c r="J316" s="25"/>
    </row>
    <row r="317" spans="1:10">
      <c r="A317" s="25"/>
      <c r="B317" s="25"/>
      <c r="C317" s="25"/>
      <c r="D317" s="25"/>
      <c r="E317" s="24"/>
      <c r="F317" s="25"/>
      <c r="G317" s="25"/>
      <c r="I317" s="25"/>
      <c r="J317" s="25"/>
    </row>
    <row r="318" spans="1:10">
      <c r="A318" s="25"/>
      <c r="B318" s="25"/>
      <c r="C318" s="25"/>
      <c r="D318" s="25"/>
      <c r="E318" s="24"/>
      <c r="F318" s="25"/>
      <c r="G318" s="25"/>
    </row>
    <row r="319" spans="1:10">
      <c r="A319" s="25"/>
      <c r="B319" s="25"/>
      <c r="C319" s="25"/>
      <c r="D319" s="25"/>
      <c r="E319" s="24"/>
    </row>
    <row r="320" spans="1:10">
      <c r="A320" s="25"/>
      <c r="B320" s="25"/>
      <c r="C320" s="25"/>
      <c r="D320" s="25"/>
      <c r="E320" s="24"/>
    </row>
    <row r="321" spans="1:5">
      <c r="A321" s="25"/>
      <c r="B321" s="25"/>
      <c r="C321" s="25"/>
      <c r="D321" s="25"/>
      <c r="E321" s="24"/>
    </row>
    <row r="322" spans="1:5">
      <c r="A322" s="25">
        <v>23</v>
      </c>
      <c r="B322" s="25">
        <v>100.5</v>
      </c>
      <c r="C322" s="25"/>
      <c r="D322" s="25"/>
      <c r="E322" s="24"/>
    </row>
    <row r="323" spans="1:5">
      <c r="A323" s="25">
        <v>102.89</v>
      </c>
      <c r="B323" s="25">
        <v>5.1769999999999996</v>
      </c>
      <c r="C323" s="25"/>
      <c r="D323" s="25"/>
      <c r="E323" s="24"/>
    </row>
    <row r="324" spans="1:5">
      <c r="A324" s="25"/>
      <c r="B324" s="25">
        <f>100000*B323/((((A323/2)^2)*3.1415926)*B322)</f>
        <v>0.61954933451921956</v>
      </c>
      <c r="C324" s="25"/>
      <c r="D324" s="25"/>
      <c r="E324" s="24"/>
    </row>
    <row r="325" spans="1:5">
      <c r="A325" s="25"/>
      <c r="B325" s="25"/>
      <c r="C325" s="25"/>
      <c r="D325" s="25"/>
      <c r="E325" s="24"/>
    </row>
    <row r="326" spans="1:5">
      <c r="A326" s="25"/>
      <c r="B326" s="25"/>
      <c r="C326" s="25"/>
      <c r="D326" s="25"/>
      <c r="E326" s="24"/>
    </row>
    <row r="327" spans="1:5">
      <c r="A327" s="25"/>
      <c r="B327" s="25"/>
      <c r="C327" s="25"/>
      <c r="D327" s="25"/>
      <c r="E327" s="24"/>
    </row>
    <row r="328" spans="1:5">
      <c r="A328" s="25"/>
      <c r="B328" s="25"/>
      <c r="C328" s="25"/>
      <c r="D328" s="25"/>
      <c r="E328" s="24"/>
    </row>
    <row r="329" spans="1:5">
      <c r="A329" s="25"/>
      <c r="B329" s="25"/>
      <c r="C329" s="25"/>
      <c r="D329" s="25"/>
      <c r="E329" s="24"/>
    </row>
    <row r="330" spans="1:5">
      <c r="A330" s="25"/>
      <c r="B330" s="25"/>
      <c r="C330" s="25"/>
      <c r="D330" s="25"/>
      <c r="E330" s="24"/>
    </row>
    <row r="331" spans="1:5">
      <c r="A331" s="25"/>
      <c r="B331" s="25"/>
      <c r="C331" s="25"/>
      <c r="D331" s="25"/>
      <c r="E331" s="24"/>
    </row>
    <row r="332" spans="1:5">
      <c r="A332" s="25"/>
      <c r="B332" s="25"/>
      <c r="C332" s="25"/>
      <c r="D332" s="25"/>
      <c r="E332" s="24"/>
    </row>
    <row r="333" spans="1:5">
      <c r="A333" s="25"/>
      <c r="B333" s="25"/>
      <c r="C333" s="25"/>
      <c r="D333" s="25"/>
      <c r="E333" s="24"/>
    </row>
    <row r="334" spans="1:5">
      <c r="A334" s="25"/>
      <c r="B334" s="25"/>
      <c r="C334" s="25"/>
      <c r="D334" s="25"/>
      <c r="E334" s="24"/>
    </row>
    <row r="335" spans="1:5">
      <c r="A335" s="25">
        <v>24</v>
      </c>
      <c r="B335" s="25">
        <v>100</v>
      </c>
      <c r="C335" s="25"/>
      <c r="D335" s="25"/>
      <c r="E335" s="24"/>
    </row>
    <row r="336" spans="1:5">
      <c r="A336" s="25">
        <v>102.46</v>
      </c>
      <c r="B336" s="25">
        <v>5.1890000000000001</v>
      </c>
      <c r="C336" s="25"/>
      <c r="D336" s="25"/>
      <c r="E336" s="24"/>
    </row>
    <row r="337" spans="1:5">
      <c r="A337" s="25"/>
      <c r="B337" s="25">
        <f>100000*B336/((((A336/2)^2)*3.1415926)*B335)</f>
        <v>0.62933964911463214</v>
      </c>
      <c r="C337" s="25"/>
      <c r="D337" s="25"/>
      <c r="E337" s="24"/>
    </row>
    <row r="338" spans="1:5">
      <c r="A338" s="25"/>
      <c r="B338" s="25"/>
      <c r="C338" s="25"/>
      <c r="D338" s="25"/>
      <c r="E338" s="24"/>
    </row>
    <row r="339" spans="1:5">
      <c r="A339" s="25"/>
      <c r="B339" s="25"/>
      <c r="C339" s="25"/>
      <c r="D339" s="25"/>
      <c r="E339" s="24"/>
    </row>
    <row r="340" spans="1:5">
      <c r="A340" s="25"/>
      <c r="B340" s="25"/>
      <c r="C340" s="25"/>
      <c r="D340" s="25"/>
      <c r="E340" s="24"/>
    </row>
    <row r="341" spans="1:5">
      <c r="A341" s="25"/>
      <c r="B341" s="25"/>
      <c r="C341" s="25"/>
      <c r="D341" s="25"/>
      <c r="E341" s="24"/>
    </row>
    <row r="342" spans="1:5">
      <c r="A342" s="25"/>
      <c r="B342" s="25"/>
      <c r="C342" s="25"/>
      <c r="D342" s="25"/>
      <c r="E342" s="24"/>
    </row>
    <row r="343" spans="1:5">
      <c r="A343" s="25"/>
      <c r="B343" s="25"/>
      <c r="C343" s="25"/>
      <c r="D343" s="25"/>
      <c r="E343" s="24"/>
    </row>
    <row r="344" spans="1:5">
      <c r="A344" s="25"/>
      <c r="B344" s="25"/>
      <c r="C344" s="25"/>
      <c r="D344" s="25"/>
      <c r="E344" s="24"/>
    </row>
    <row r="345" spans="1:5">
      <c r="A345" s="25"/>
      <c r="B345" s="25"/>
      <c r="C345" s="25"/>
      <c r="D345" s="25"/>
      <c r="E345" s="24"/>
    </row>
    <row r="346" spans="1:5">
      <c r="A346" s="25"/>
      <c r="B346" s="25"/>
      <c r="C346" s="25"/>
      <c r="D346" s="25"/>
      <c r="E346" s="24"/>
    </row>
    <row r="347" spans="1:5">
      <c r="A347" s="25"/>
      <c r="B347" s="25"/>
      <c r="C347" s="25"/>
      <c r="D347" s="25"/>
      <c r="E347" s="24"/>
    </row>
    <row r="348" spans="1:5">
      <c r="A348" s="25"/>
      <c r="B348" s="25"/>
      <c r="C348" s="25"/>
      <c r="D348" s="25"/>
      <c r="E348" s="24"/>
    </row>
    <row r="349" spans="1:5">
      <c r="A349" s="25"/>
      <c r="B349" s="25"/>
      <c r="C349" s="25"/>
      <c r="D349" s="25"/>
      <c r="E349" s="24"/>
    </row>
    <row r="350" spans="1:5">
      <c r="A350" s="25"/>
      <c r="B350" s="25"/>
      <c r="C350" s="25"/>
      <c r="D350" s="25"/>
      <c r="E350" s="24"/>
    </row>
    <row r="351" spans="1:5">
      <c r="A351" s="25"/>
      <c r="B351" s="25"/>
      <c r="C351" s="25"/>
      <c r="D351" s="25"/>
      <c r="E351" s="24"/>
    </row>
    <row r="352" spans="1:5">
      <c r="A352" s="25"/>
      <c r="B352" s="25"/>
      <c r="C352" s="25"/>
      <c r="D352" s="25"/>
      <c r="E352" s="24"/>
    </row>
    <row r="353" spans="1:5">
      <c r="A353" s="25"/>
      <c r="B353" s="25"/>
      <c r="C353" s="25"/>
      <c r="D353" s="25"/>
      <c r="E353" s="24"/>
    </row>
    <row r="354" spans="1:5">
      <c r="A354" s="25"/>
      <c r="B354" s="25"/>
      <c r="C354" s="25"/>
      <c r="D354" s="25"/>
      <c r="E354" s="24"/>
    </row>
    <row r="355" spans="1:5">
      <c r="A355" s="25"/>
      <c r="B355" s="25"/>
      <c r="C355" s="25"/>
      <c r="D355" s="25"/>
      <c r="E355" s="24"/>
    </row>
    <row r="356" spans="1:5">
      <c r="A356" s="25"/>
      <c r="B356" s="25"/>
      <c r="C356" s="25"/>
      <c r="D356" s="25"/>
      <c r="E356" s="24"/>
    </row>
    <row r="357" spans="1:5">
      <c r="A357" s="25">
        <v>25</v>
      </c>
      <c r="B357" s="25">
        <v>99.5</v>
      </c>
      <c r="C357" s="25"/>
      <c r="D357" s="25"/>
      <c r="E357" s="24"/>
    </row>
    <row r="358" spans="1:5">
      <c r="A358" s="25">
        <v>103.12</v>
      </c>
      <c r="B358" s="25">
        <v>5.2709999999999999</v>
      </c>
      <c r="C358" s="25"/>
      <c r="D358" s="25"/>
      <c r="E358" s="24"/>
    </row>
    <row r="359" spans="1:5">
      <c r="A359" s="25"/>
      <c r="B359" s="25">
        <f>100000*B358/((((A358/2)^2)*3.1415926)*B357)</f>
        <v>0.63429933023526053</v>
      </c>
      <c r="C359" s="25"/>
      <c r="D359" s="25"/>
      <c r="E359" s="24"/>
    </row>
    <row r="360" spans="1:5">
      <c r="A360" s="25"/>
      <c r="B360" s="25"/>
      <c r="C360" s="25"/>
      <c r="D360" s="25"/>
      <c r="E360" s="24"/>
    </row>
    <row r="361" spans="1:5">
      <c r="A361" s="25"/>
      <c r="B361" s="25"/>
      <c r="C361" s="25"/>
      <c r="D361" s="25"/>
      <c r="E361" s="24"/>
    </row>
    <row r="362" spans="1:5">
      <c r="A362" s="25"/>
      <c r="B362" s="25"/>
      <c r="C362" s="25"/>
      <c r="D362" s="25"/>
      <c r="E362" s="24"/>
    </row>
    <row r="363" spans="1:5">
      <c r="A363" s="25"/>
      <c r="B363" s="25"/>
      <c r="C363" s="25"/>
      <c r="D363" s="25"/>
      <c r="E363" s="24"/>
    </row>
    <row r="364" spans="1:5">
      <c r="A364" s="25"/>
      <c r="B364" s="25"/>
      <c r="C364" s="25"/>
      <c r="D364" s="25"/>
      <c r="E364" s="24"/>
    </row>
    <row r="365" spans="1:5">
      <c r="A365" s="25"/>
      <c r="B365" s="25"/>
      <c r="C365" s="25"/>
      <c r="D365" s="25"/>
      <c r="E365" s="24"/>
    </row>
    <row r="366" spans="1:5">
      <c r="A366" s="25"/>
      <c r="B366" s="25"/>
      <c r="C366" s="25"/>
      <c r="D366" s="25"/>
      <c r="E366" s="24"/>
    </row>
    <row r="367" spans="1:5">
      <c r="A367" s="25"/>
      <c r="B367" s="25"/>
      <c r="C367" s="25"/>
      <c r="D367" s="25"/>
      <c r="E367" s="24"/>
    </row>
    <row r="368" spans="1:5">
      <c r="A368" s="25"/>
      <c r="B368" s="25"/>
      <c r="C368" s="25"/>
      <c r="D368" s="25"/>
      <c r="E368" s="24"/>
    </row>
    <row r="369" spans="1:5">
      <c r="A369" s="25"/>
      <c r="B369" s="25"/>
      <c r="C369" s="25"/>
      <c r="D369" s="25"/>
      <c r="E369" s="24"/>
    </row>
    <row r="370" spans="1:5">
      <c r="A370" s="25"/>
      <c r="B370" s="25"/>
      <c r="C370" s="25"/>
      <c r="D370" s="25"/>
      <c r="E370" s="24"/>
    </row>
    <row r="371" spans="1:5">
      <c r="A371" s="25"/>
      <c r="B371" s="25"/>
      <c r="C371" s="25"/>
      <c r="D371" s="25"/>
      <c r="E371" s="24"/>
    </row>
    <row r="372" spans="1:5">
      <c r="A372" s="25"/>
      <c r="B372" s="25"/>
      <c r="C372" s="25"/>
      <c r="D372" s="25"/>
      <c r="E372" s="24"/>
    </row>
    <row r="373" spans="1:5">
      <c r="A373" s="25"/>
      <c r="B373" s="25"/>
      <c r="C373" s="25"/>
      <c r="D373" s="25"/>
      <c r="E373" s="24"/>
    </row>
    <row r="374" spans="1:5">
      <c r="A374" s="25"/>
      <c r="B374" s="25"/>
      <c r="C374" s="25"/>
      <c r="D374" s="25"/>
      <c r="E374" s="24"/>
    </row>
    <row r="375" spans="1:5">
      <c r="A375" s="25"/>
      <c r="B375" s="25"/>
      <c r="C375" s="25"/>
      <c r="D375" s="25"/>
      <c r="E375" s="24"/>
    </row>
    <row r="376" spans="1:5">
      <c r="A376" s="25">
        <v>26</v>
      </c>
      <c r="B376" s="25">
        <v>101.5</v>
      </c>
      <c r="C376" s="25"/>
      <c r="D376" s="25"/>
      <c r="E376" s="24"/>
    </row>
    <row r="377" spans="1:5">
      <c r="A377" s="25">
        <v>102.68</v>
      </c>
      <c r="B377" s="25">
        <v>5.375</v>
      </c>
      <c r="C377" s="25"/>
      <c r="D377" s="25"/>
      <c r="E377" s="24"/>
    </row>
    <row r="378" spans="1:5">
      <c r="A378" s="25"/>
      <c r="B378" s="25">
        <f>100000*B377/((((A377/2)^2)*3.1415926)*B376)</f>
        <v>0.63951514276428623</v>
      </c>
      <c r="C378" s="25"/>
      <c r="D378" s="25"/>
      <c r="E378" s="24"/>
    </row>
    <row r="379" spans="1:5">
      <c r="A379" s="25"/>
      <c r="B379" s="25"/>
      <c r="C379" s="25"/>
      <c r="D379" s="25"/>
      <c r="E379" s="24"/>
    </row>
    <row r="380" spans="1:5">
      <c r="A380" s="25"/>
      <c r="B380" s="25"/>
      <c r="C380" s="25"/>
      <c r="D380" s="25"/>
      <c r="E380" s="24"/>
    </row>
    <row r="381" spans="1:5">
      <c r="A381" s="25"/>
      <c r="B381" s="25"/>
      <c r="C381" s="25"/>
      <c r="D381" s="25"/>
      <c r="E381" s="24"/>
    </row>
    <row r="382" spans="1:5">
      <c r="A382" s="25"/>
      <c r="B382" s="25"/>
      <c r="C382" s="25"/>
      <c r="D382" s="25"/>
      <c r="E382" s="24"/>
    </row>
    <row r="383" spans="1:5">
      <c r="A383" s="25"/>
      <c r="B383" s="25"/>
      <c r="C383" s="25"/>
      <c r="D383" s="25"/>
      <c r="E383" s="24"/>
    </row>
    <row r="384" spans="1:5">
      <c r="A384" s="25"/>
      <c r="B384" s="25"/>
      <c r="C384" s="25"/>
      <c r="D384" s="25"/>
      <c r="E384" s="24"/>
    </row>
    <row r="385" spans="1:5">
      <c r="A385" s="25"/>
      <c r="B385" s="25"/>
      <c r="C385" s="25"/>
      <c r="D385" s="25"/>
      <c r="E385" s="24"/>
    </row>
    <row r="386" spans="1:5">
      <c r="A386" s="25"/>
      <c r="B386" s="25"/>
      <c r="C386" s="25"/>
      <c r="D386" s="25"/>
      <c r="E386" s="24"/>
    </row>
    <row r="387" spans="1:5">
      <c r="A387" s="25"/>
      <c r="B387" s="25"/>
      <c r="C387" s="25"/>
      <c r="D387" s="25"/>
      <c r="E387" s="24"/>
    </row>
    <row r="388" spans="1:5">
      <c r="A388" s="25"/>
      <c r="B388" s="25"/>
      <c r="C388" s="25"/>
      <c r="D388" s="25"/>
      <c r="E388" s="24"/>
    </row>
    <row r="389" spans="1:5">
      <c r="A389" s="25"/>
      <c r="B389" s="25"/>
      <c r="C389" s="25"/>
      <c r="D389" s="25"/>
      <c r="E389" s="24"/>
    </row>
    <row r="390" spans="1:5">
      <c r="A390" s="25"/>
      <c r="B390" s="25"/>
      <c r="C390" s="25"/>
      <c r="D390" s="25"/>
      <c r="E390" s="24"/>
    </row>
    <row r="391" spans="1:5">
      <c r="A391" s="25"/>
      <c r="B391" s="25"/>
      <c r="C391" s="25"/>
      <c r="D391" s="25"/>
      <c r="E391" s="24"/>
    </row>
    <row r="392" spans="1:5">
      <c r="A392" s="25"/>
      <c r="B392" s="25"/>
      <c r="C392" s="25"/>
      <c r="D392" s="25"/>
      <c r="E392" s="24"/>
    </row>
    <row r="393" spans="1:5">
      <c r="A393" s="25">
        <v>27</v>
      </c>
      <c r="B393" s="25">
        <v>100</v>
      </c>
      <c r="C393" s="25"/>
      <c r="D393" s="25"/>
      <c r="E393" s="24"/>
    </row>
    <row r="394" spans="1:5">
      <c r="A394" s="25">
        <v>102.89</v>
      </c>
      <c r="B394" s="25">
        <v>5.3319999999999999</v>
      </c>
      <c r="C394" s="25"/>
      <c r="D394" s="25"/>
      <c r="E394" s="24"/>
    </row>
    <row r="395" spans="1:5">
      <c r="A395" s="25"/>
      <c r="B395" s="25">
        <f>100000*B394/((((A394/2)^2)*3.1415926)*B393)</f>
        <v>0.64128920937121148</v>
      </c>
      <c r="C395" s="25"/>
      <c r="D395" s="25"/>
      <c r="E395" s="24"/>
    </row>
    <row r="396" spans="1:5">
      <c r="A396" s="25"/>
      <c r="B396" s="25"/>
      <c r="C396" s="25"/>
      <c r="D396" s="25"/>
      <c r="E396" s="24"/>
    </row>
    <row r="397" spans="1:5">
      <c r="A397" s="25"/>
      <c r="B397" s="25"/>
      <c r="C397" s="25"/>
      <c r="D397" s="25"/>
      <c r="E397" s="24"/>
    </row>
    <row r="398" spans="1:5">
      <c r="A398" s="25"/>
      <c r="B398" s="25"/>
      <c r="C398" s="25"/>
      <c r="D398" s="25"/>
      <c r="E398" s="24"/>
    </row>
    <row r="399" spans="1:5">
      <c r="A399" s="25"/>
      <c r="B399" s="25"/>
      <c r="C399" s="25"/>
      <c r="D399" s="25"/>
      <c r="E399" s="24"/>
    </row>
    <row r="400" spans="1:5">
      <c r="A400" s="25"/>
      <c r="B400" s="25"/>
      <c r="C400" s="25"/>
      <c r="D400" s="25"/>
      <c r="E400" s="24"/>
    </row>
    <row r="401" spans="1:5">
      <c r="A401" s="25"/>
      <c r="B401" s="25"/>
      <c r="C401" s="25"/>
      <c r="D401" s="25"/>
      <c r="E401" s="24"/>
    </row>
    <row r="402" spans="1:5">
      <c r="A402" s="25"/>
      <c r="B402" s="25"/>
      <c r="C402" s="25"/>
      <c r="D402" s="25"/>
      <c r="E402" s="24"/>
    </row>
    <row r="403" spans="1:5">
      <c r="A403" s="25"/>
      <c r="B403" s="25"/>
      <c r="C403" s="25"/>
      <c r="D403" s="25"/>
      <c r="E403" s="24"/>
    </row>
    <row r="404" spans="1:5">
      <c r="A404" s="25"/>
      <c r="B404" s="25"/>
      <c r="C404" s="25"/>
      <c r="D404" s="25"/>
      <c r="E404" s="24"/>
    </row>
    <row r="405" spans="1:5">
      <c r="A405" s="25"/>
      <c r="B405" s="25"/>
      <c r="C405" s="25"/>
      <c r="D405" s="25"/>
      <c r="E405" s="24"/>
    </row>
    <row r="406" spans="1:5">
      <c r="A406" s="25"/>
      <c r="B406" s="25"/>
      <c r="C406" s="25"/>
      <c r="D406" s="25"/>
      <c r="E406" s="24"/>
    </row>
    <row r="407" spans="1:5">
      <c r="A407" s="25"/>
      <c r="B407" s="25"/>
      <c r="C407" s="25"/>
      <c r="D407" s="25"/>
      <c r="E407" s="24"/>
    </row>
    <row r="408" spans="1:5">
      <c r="A408" s="25"/>
      <c r="B408" s="25"/>
      <c r="C408" s="25"/>
      <c r="D408" s="25"/>
      <c r="E408" s="24"/>
    </row>
    <row r="409" spans="1:5">
      <c r="A409" s="25">
        <v>28</v>
      </c>
      <c r="B409" s="25">
        <v>101</v>
      </c>
      <c r="C409" s="25"/>
      <c r="D409" s="25"/>
      <c r="E409" s="24"/>
    </row>
    <row r="410" spans="1:5">
      <c r="A410" s="25">
        <v>102.65</v>
      </c>
      <c r="B410" s="25">
        <v>5.3440000000000003</v>
      </c>
      <c r="C410" s="25"/>
      <c r="D410" s="25"/>
      <c r="E410" s="24"/>
    </row>
    <row r="411" spans="1:5">
      <c r="A411" s="25"/>
      <c r="B411" s="25">
        <f>100000*B410/((((A410/2)^2)*3.1415926)*B409)</f>
        <v>0.63934797549314404</v>
      </c>
      <c r="C411" s="25"/>
      <c r="D411" s="25"/>
      <c r="E411" s="24"/>
    </row>
    <row r="412" spans="1:5">
      <c r="A412" s="25"/>
      <c r="B412" s="25"/>
      <c r="C412" s="25"/>
      <c r="D412" s="25"/>
      <c r="E412" s="24"/>
    </row>
    <row r="413" spans="1:5">
      <c r="A413" s="25"/>
      <c r="B413" s="25"/>
      <c r="C413" s="25"/>
      <c r="D413" s="25"/>
      <c r="E413" s="24"/>
    </row>
    <row r="414" spans="1:5">
      <c r="A414" s="25"/>
      <c r="B414" s="25"/>
      <c r="C414" s="25"/>
      <c r="D414" s="25"/>
      <c r="E414" s="24"/>
    </row>
    <row r="415" spans="1:5">
      <c r="A415" s="25"/>
      <c r="B415" s="25"/>
      <c r="C415" s="25"/>
      <c r="D415" s="25"/>
      <c r="E415" s="24"/>
    </row>
    <row r="416" spans="1:5">
      <c r="A416" s="25"/>
      <c r="B416" s="25"/>
      <c r="C416" s="25"/>
      <c r="D416" s="25"/>
      <c r="E416" s="24"/>
    </row>
    <row r="417" spans="1:5">
      <c r="A417" s="25"/>
      <c r="B417" s="25"/>
      <c r="C417" s="25"/>
      <c r="D417" s="25"/>
      <c r="E417" s="24"/>
    </row>
    <row r="418" spans="1:5">
      <c r="A418" s="25"/>
      <c r="B418" s="25"/>
      <c r="C418" s="25"/>
      <c r="D418" s="25"/>
      <c r="E418" s="24"/>
    </row>
    <row r="419" spans="1:5">
      <c r="A419" s="25"/>
      <c r="B419" s="25"/>
      <c r="C419" s="25"/>
      <c r="D419" s="25"/>
      <c r="E419" s="24"/>
    </row>
    <row r="420" spans="1:5">
      <c r="A420" s="25"/>
      <c r="B420" s="25"/>
      <c r="C420" s="25"/>
      <c r="D420" s="25"/>
      <c r="E420" s="24"/>
    </row>
    <row r="421" spans="1:5">
      <c r="A421" s="25"/>
      <c r="B421" s="25"/>
      <c r="C421" s="25"/>
      <c r="D421" s="25"/>
      <c r="E421" s="24"/>
    </row>
    <row r="422" spans="1:5">
      <c r="A422" s="25"/>
      <c r="B422" s="25"/>
      <c r="C422" s="25"/>
      <c r="D422" s="25"/>
      <c r="E422" s="24"/>
    </row>
    <row r="423" spans="1:5">
      <c r="A423" s="25"/>
      <c r="B423" s="25"/>
      <c r="C423" s="25"/>
      <c r="D423" s="25"/>
      <c r="E423" s="24"/>
    </row>
    <row r="424" spans="1:5">
      <c r="A424" s="25"/>
      <c r="B424" s="25"/>
      <c r="C424" s="25"/>
      <c r="D424" s="25"/>
      <c r="E424" s="24"/>
    </row>
    <row r="425" spans="1:5">
      <c r="A425" s="25"/>
      <c r="B425" s="25"/>
      <c r="C425" s="25"/>
      <c r="D425" s="25"/>
      <c r="E425" s="24"/>
    </row>
    <row r="426" spans="1:5">
      <c r="A426" s="25"/>
      <c r="B426" s="25"/>
      <c r="C426" s="25"/>
      <c r="D426" s="25"/>
      <c r="E426" s="24"/>
    </row>
    <row r="427" spans="1:5">
      <c r="A427" s="25"/>
      <c r="B427" s="25"/>
      <c r="C427" s="25"/>
      <c r="D427" s="25"/>
      <c r="E427" s="24"/>
    </row>
    <row r="428" spans="1:5">
      <c r="A428" s="25"/>
      <c r="B428" s="25"/>
      <c r="C428" s="25"/>
      <c r="D428" s="25"/>
      <c r="E428" s="24"/>
    </row>
    <row r="429" spans="1:5">
      <c r="A429" s="25"/>
      <c r="B429" s="25"/>
      <c r="C429" s="25"/>
      <c r="D429" s="25"/>
      <c r="E429" s="24"/>
    </row>
    <row r="430" spans="1:5">
      <c r="A430" s="25"/>
      <c r="B430" s="25"/>
      <c r="C430" s="25"/>
      <c r="D430" s="25"/>
      <c r="E430" s="24"/>
    </row>
    <row r="431" spans="1:5">
      <c r="A431" s="25"/>
      <c r="B431" s="25"/>
      <c r="C431" s="25"/>
      <c r="D431" s="25"/>
      <c r="E431" s="24"/>
    </row>
    <row r="432" spans="1:5">
      <c r="A432" s="25"/>
      <c r="B432" s="25"/>
      <c r="C432" s="25"/>
      <c r="D432" s="25"/>
      <c r="E432" s="24"/>
    </row>
    <row r="433" spans="1:5">
      <c r="A433" s="25"/>
      <c r="B433" s="25"/>
      <c r="C433" s="25"/>
      <c r="D433" s="25"/>
      <c r="E433" s="24"/>
    </row>
    <row r="434" spans="1:5">
      <c r="A434" s="25"/>
      <c r="B434" s="25"/>
      <c r="C434" s="25"/>
      <c r="D434" s="25"/>
      <c r="E434" s="24"/>
    </row>
    <row r="435" spans="1:5">
      <c r="A435" s="25"/>
      <c r="B435" s="25"/>
      <c r="C435" s="25"/>
      <c r="D435" s="25"/>
      <c r="E435" s="24"/>
    </row>
    <row r="436" spans="1:5">
      <c r="A436" s="25"/>
      <c r="B436" s="25"/>
      <c r="C436" s="25"/>
      <c r="D436" s="25"/>
      <c r="E436" s="24"/>
    </row>
    <row r="437" spans="1:5">
      <c r="A437" s="25"/>
      <c r="B437" s="25"/>
      <c r="C437" s="25"/>
      <c r="D437" s="25"/>
      <c r="E437" s="24"/>
    </row>
    <row r="438" spans="1:5">
      <c r="A438" s="25">
        <v>29</v>
      </c>
      <c r="B438" s="25">
        <v>97</v>
      </c>
      <c r="C438" s="25"/>
      <c r="D438" s="25"/>
      <c r="E438" s="24"/>
    </row>
    <row r="439" spans="1:5">
      <c r="A439" s="25">
        <v>102.76</v>
      </c>
      <c r="B439" s="25">
        <v>5.2309999999999999</v>
      </c>
      <c r="C439" s="25"/>
      <c r="D439" s="25"/>
      <c r="E439" s="24"/>
    </row>
    <row r="440" spans="1:5">
      <c r="A440" s="25"/>
      <c r="B440" s="25">
        <f>100000*B439/((((A439/2)^2)*3.1415926)*B438)</f>
        <v>0.65024185459944384</v>
      </c>
      <c r="C440" s="25"/>
      <c r="D440" s="25"/>
      <c r="E440" s="24"/>
    </row>
    <row r="441" spans="1:5">
      <c r="A441" s="25"/>
      <c r="B441" s="25"/>
      <c r="C441" s="25"/>
      <c r="D441" s="25"/>
      <c r="E441" s="24"/>
    </row>
    <row r="442" spans="1:5">
      <c r="A442" s="25"/>
      <c r="B442" s="25"/>
      <c r="C442" s="25"/>
      <c r="D442" s="25"/>
      <c r="E442" s="24"/>
    </row>
    <row r="443" spans="1:5">
      <c r="A443" s="25"/>
      <c r="B443" s="25"/>
      <c r="C443" s="25"/>
      <c r="D443" s="25"/>
      <c r="E443" s="24"/>
    </row>
    <row r="444" spans="1:5">
      <c r="A444" s="25"/>
      <c r="B444" s="25"/>
      <c r="C444" s="25"/>
      <c r="D444" s="25"/>
      <c r="E444" s="24"/>
    </row>
    <row r="445" spans="1:5">
      <c r="A445" s="25"/>
      <c r="B445" s="25"/>
      <c r="C445" s="25"/>
      <c r="D445" s="25"/>
      <c r="E445" s="24"/>
    </row>
    <row r="446" spans="1:5">
      <c r="A446" s="25"/>
      <c r="B446" s="25"/>
      <c r="C446" s="25"/>
      <c r="D446" s="25"/>
      <c r="E446" s="24"/>
    </row>
    <row r="447" spans="1:5">
      <c r="A447" s="25"/>
      <c r="B447" s="25"/>
      <c r="C447" s="25"/>
      <c r="D447" s="25"/>
      <c r="E447" s="24"/>
    </row>
    <row r="448" spans="1:5">
      <c r="A448" s="25"/>
      <c r="B448" s="25"/>
      <c r="C448" s="25"/>
      <c r="D448" s="25"/>
      <c r="E448" s="24"/>
    </row>
    <row r="449" spans="1:5">
      <c r="A449" s="25"/>
      <c r="B449" s="25"/>
      <c r="C449" s="25"/>
      <c r="D449" s="25"/>
      <c r="E449" s="24"/>
    </row>
    <row r="450" spans="1:5">
      <c r="A450" s="25"/>
      <c r="B450" s="25"/>
      <c r="C450" s="25"/>
      <c r="D450" s="25"/>
      <c r="E450" s="24"/>
    </row>
    <row r="451" spans="1:5">
      <c r="A451" s="25"/>
      <c r="B451" s="25"/>
      <c r="C451" s="25"/>
      <c r="D451" s="25"/>
      <c r="E451" s="24"/>
    </row>
    <row r="452" spans="1:5">
      <c r="A452" s="25"/>
      <c r="B452" s="25"/>
      <c r="C452" s="25"/>
      <c r="D452" s="25"/>
      <c r="E452" s="24"/>
    </row>
    <row r="453" spans="1:5">
      <c r="A453" s="25"/>
      <c r="B453" s="25"/>
      <c r="C453" s="25"/>
      <c r="D453" s="25"/>
      <c r="E453" s="24"/>
    </row>
    <row r="454" spans="1:5">
      <c r="A454" s="25"/>
      <c r="B454" s="25"/>
      <c r="C454" s="25"/>
      <c r="D454" s="25"/>
      <c r="E454" s="24"/>
    </row>
    <row r="455" spans="1:5">
      <c r="A455" s="25"/>
      <c r="B455" s="25"/>
      <c r="C455" s="25"/>
      <c r="D455" s="25"/>
      <c r="E455" s="24"/>
    </row>
    <row r="456" spans="1:5">
      <c r="A456" s="25"/>
      <c r="B456" s="25"/>
      <c r="C456" s="25"/>
      <c r="D456" s="25"/>
      <c r="E456" s="24"/>
    </row>
    <row r="457" spans="1:5">
      <c r="A457" s="25"/>
      <c r="B457" s="25"/>
      <c r="C457" s="25"/>
      <c r="D457" s="25"/>
      <c r="E457" s="24"/>
    </row>
    <row r="458" spans="1:5">
      <c r="A458" s="25"/>
      <c r="B458" s="25"/>
      <c r="C458" s="25"/>
      <c r="D458" s="25"/>
      <c r="E458" s="24"/>
    </row>
    <row r="459" spans="1:5">
      <c r="A459" s="25"/>
      <c r="B459" s="25"/>
      <c r="C459" s="25"/>
      <c r="D459" s="25"/>
      <c r="E459" s="24"/>
    </row>
    <row r="460" spans="1:5">
      <c r="A460" s="25"/>
      <c r="B460" s="25"/>
      <c r="C460" s="25"/>
      <c r="D460" s="25"/>
      <c r="E460" s="24"/>
    </row>
    <row r="461" spans="1:5">
      <c r="A461" s="25">
        <v>30</v>
      </c>
      <c r="B461" s="25">
        <v>97.5</v>
      </c>
      <c r="C461" s="25"/>
      <c r="D461" s="25"/>
      <c r="E461" s="24"/>
    </row>
    <row r="462" spans="1:5">
      <c r="A462" s="25">
        <v>103.35</v>
      </c>
      <c r="B462" s="25">
        <v>5.343</v>
      </c>
      <c r="C462" s="25"/>
      <c r="D462" s="25"/>
      <c r="E462" s="24"/>
    </row>
    <row r="463" spans="1:5">
      <c r="A463" s="25"/>
      <c r="B463" s="25">
        <f>100000*B462/((((A462/2)^2)*3.1415926)*B461)</f>
        <v>0.65323541609300817</v>
      </c>
      <c r="C463" s="25"/>
      <c r="D463" s="25"/>
      <c r="E463" s="24"/>
    </row>
    <row r="464" spans="1:5">
      <c r="A464" s="25"/>
      <c r="B464" s="25"/>
      <c r="C464" s="25"/>
      <c r="D464" s="25"/>
      <c r="E464" s="24"/>
    </row>
    <row r="465" spans="1:5">
      <c r="A465" s="25"/>
      <c r="B465" s="25"/>
      <c r="C465" s="25"/>
      <c r="D465" s="25"/>
      <c r="E465" s="24"/>
    </row>
    <row r="466" spans="1:5">
      <c r="A466" s="25"/>
      <c r="B466" s="25"/>
      <c r="C466" s="25"/>
      <c r="D466" s="25"/>
      <c r="E466" s="24"/>
    </row>
    <row r="467" spans="1:5">
      <c r="A467" s="25"/>
      <c r="B467" s="25"/>
      <c r="C467" s="25"/>
      <c r="D467" s="25"/>
      <c r="E467" s="24"/>
    </row>
    <row r="468" spans="1:5">
      <c r="A468" s="25"/>
      <c r="B468" s="25"/>
      <c r="C468" s="25"/>
      <c r="D468" s="25"/>
      <c r="E468" s="24"/>
    </row>
    <row r="469" spans="1:5">
      <c r="A469" s="25"/>
      <c r="B469" s="25"/>
      <c r="C469" s="25"/>
      <c r="D469" s="25"/>
      <c r="E469" s="24"/>
    </row>
    <row r="470" spans="1:5">
      <c r="A470" s="25"/>
      <c r="B470" s="25"/>
      <c r="C470" s="25"/>
      <c r="D470" s="25"/>
      <c r="E470" s="24"/>
    </row>
    <row r="471" spans="1:5">
      <c r="A471" s="25"/>
      <c r="B471" s="25"/>
      <c r="C471" s="25"/>
      <c r="D471" s="25"/>
      <c r="E471" s="24"/>
    </row>
    <row r="472" spans="1:5">
      <c r="A472" s="25"/>
      <c r="B472" s="25"/>
      <c r="C472" s="25"/>
      <c r="D472" s="25"/>
      <c r="E472" s="24"/>
    </row>
    <row r="473" spans="1:5">
      <c r="A473" s="25"/>
      <c r="B473" s="25"/>
      <c r="C473" s="25"/>
      <c r="D473" s="25"/>
      <c r="E473" s="24"/>
    </row>
    <row r="474" spans="1:5">
      <c r="A474" s="25"/>
      <c r="B474" s="25"/>
      <c r="C474" s="25"/>
      <c r="D474" s="25"/>
      <c r="E474" s="24"/>
    </row>
    <row r="475" spans="1:5">
      <c r="A475" s="25"/>
      <c r="B475" s="25"/>
      <c r="C475" s="25"/>
      <c r="D475" s="25"/>
      <c r="E475" s="24"/>
    </row>
    <row r="476" spans="1:5">
      <c r="A476" s="25"/>
      <c r="B476" s="25"/>
      <c r="C476" s="25"/>
      <c r="D476" s="25"/>
      <c r="E476" s="24"/>
    </row>
    <row r="477" spans="1:5">
      <c r="A477" s="25"/>
      <c r="B477" s="25"/>
      <c r="C477" s="25"/>
      <c r="D477" s="25"/>
      <c r="E477" s="24"/>
    </row>
    <row r="478" spans="1:5">
      <c r="A478" s="25"/>
      <c r="B478" s="25"/>
      <c r="C478" s="25"/>
      <c r="D478" s="25"/>
      <c r="E478" s="24"/>
    </row>
    <row r="479" spans="1:5">
      <c r="A479" s="25">
        <v>31</v>
      </c>
      <c r="B479" s="25">
        <v>98</v>
      </c>
      <c r="C479" s="25"/>
      <c r="D479" s="25"/>
      <c r="E479" s="24"/>
    </row>
    <row r="480" spans="1:5">
      <c r="A480" s="25">
        <v>103.31</v>
      </c>
      <c r="B480" s="25">
        <v>5.407</v>
      </c>
      <c r="C480" s="25"/>
      <c r="D480" s="25"/>
      <c r="E480" s="24"/>
    </row>
    <row r="481" spans="1:5">
      <c r="A481" s="25"/>
      <c r="B481" s="25">
        <f>100000*B480/((((A480/2)^2)*3.1415926)*B479)</f>
        <v>0.65819669438202077</v>
      </c>
      <c r="C481" s="25"/>
      <c r="D481" s="25"/>
      <c r="E481" s="24"/>
    </row>
    <row r="482" spans="1:5">
      <c r="A482" s="25"/>
      <c r="B482" s="25"/>
      <c r="C482" s="25"/>
      <c r="D482" s="25"/>
      <c r="E482" s="24"/>
    </row>
    <row r="483" spans="1:5">
      <c r="A483" s="25"/>
      <c r="B483" s="25"/>
      <c r="C483" s="25"/>
      <c r="D483" s="25"/>
      <c r="E483" s="24"/>
    </row>
    <row r="484" spans="1:5">
      <c r="A484" s="25"/>
      <c r="B484" s="25"/>
      <c r="C484" s="25"/>
      <c r="D484" s="25"/>
      <c r="E484" s="24"/>
    </row>
    <row r="485" spans="1:5">
      <c r="A485" s="25"/>
      <c r="B485" s="25"/>
      <c r="C485" s="25"/>
      <c r="D485" s="25"/>
      <c r="E485" s="24"/>
    </row>
    <row r="486" spans="1:5">
      <c r="A486" s="25"/>
      <c r="B486" s="25"/>
      <c r="C486" s="25"/>
      <c r="D486" s="25"/>
      <c r="E486" s="24"/>
    </row>
    <row r="487" spans="1:5">
      <c r="A487" s="25"/>
      <c r="B487" s="25"/>
      <c r="C487" s="25"/>
      <c r="D487" s="25"/>
      <c r="E487" s="24"/>
    </row>
    <row r="488" spans="1:5">
      <c r="A488" s="25"/>
      <c r="B488" s="25"/>
      <c r="C488" s="25"/>
      <c r="D488" s="25"/>
      <c r="E488" s="24"/>
    </row>
    <row r="489" spans="1:5">
      <c r="A489" s="25"/>
      <c r="B489" s="25"/>
      <c r="C489" s="25"/>
      <c r="D489" s="25"/>
      <c r="E489" s="24"/>
    </row>
    <row r="490" spans="1:5">
      <c r="A490" s="25"/>
      <c r="B490" s="25"/>
      <c r="C490" s="25"/>
      <c r="D490" s="25"/>
      <c r="E490" s="24"/>
    </row>
    <row r="491" spans="1:5">
      <c r="A491" s="25"/>
      <c r="B491" s="25"/>
      <c r="C491" s="25"/>
      <c r="D491" s="25"/>
      <c r="E491" s="24"/>
    </row>
    <row r="492" spans="1:5">
      <c r="A492" s="25"/>
      <c r="B492" s="25"/>
      <c r="C492" s="25"/>
      <c r="D492" s="25"/>
      <c r="E492" s="24"/>
    </row>
    <row r="493" spans="1:5">
      <c r="A493" s="25"/>
      <c r="B493" s="25"/>
      <c r="C493" s="25"/>
      <c r="D493" s="25"/>
      <c r="E493" s="24"/>
    </row>
    <row r="494" spans="1:5">
      <c r="A494" s="25"/>
      <c r="B494" s="25"/>
      <c r="C494" s="25"/>
      <c r="D494" s="25"/>
      <c r="E494" s="24"/>
    </row>
    <row r="495" spans="1:5">
      <c r="A495" s="25"/>
      <c r="B495" s="25"/>
      <c r="C495" s="25"/>
      <c r="D495" s="25"/>
      <c r="E495" s="24"/>
    </row>
    <row r="496" spans="1:5">
      <c r="A496" s="25"/>
      <c r="B496" s="25"/>
      <c r="C496" s="25"/>
      <c r="D496" s="25"/>
      <c r="E496" s="24"/>
    </row>
    <row r="497" spans="1:5">
      <c r="A497" s="25"/>
      <c r="B497" s="25"/>
      <c r="C497" s="25"/>
      <c r="D497" s="25"/>
      <c r="E497" s="24"/>
    </row>
    <row r="498" spans="1:5">
      <c r="A498" s="25">
        <v>32</v>
      </c>
      <c r="B498" s="25">
        <v>98.5</v>
      </c>
      <c r="C498" s="25"/>
      <c r="D498" s="25"/>
      <c r="E498" s="24"/>
    </row>
    <row r="499" spans="1:5">
      <c r="A499" s="25">
        <v>102.62</v>
      </c>
      <c r="B499" s="25">
        <v>5.5190000000000001</v>
      </c>
      <c r="C499" s="25"/>
      <c r="D499" s="25"/>
      <c r="E499" s="24"/>
    </row>
    <row r="500" spans="1:5">
      <c r="A500" s="25"/>
      <c r="B500" s="25">
        <f>100000*B499/((((A499/2)^2)*3.1415926)*B498)</f>
        <v>0.67743911498361364</v>
      </c>
      <c r="C500" s="25"/>
      <c r="D500" s="25"/>
      <c r="E500" s="24"/>
    </row>
    <row r="501" spans="1:5">
      <c r="A501" s="25"/>
      <c r="B501" s="25"/>
      <c r="C501" s="25"/>
      <c r="D501" s="25"/>
      <c r="E501" s="24"/>
    </row>
    <row r="502" spans="1:5">
      <c r="A502" s="25"/>
      <c r="B502" s="25"/>
      <c r="C502" s="25"/>
      <c r="D502" s="25"/>
      <c r="E502" s="24"/>
    </row>
    <row r="503" spans="1:5">
      <c r="A503" s="25"/>
      <c r="B503" s="25"/>
      <c r="C503" s="25"/>
      <c r="D503" s="25"/>
      <c r="E503" s="24"/>
    </row>
    <row r="504" spans="1:5">
      <c r="A504" s="25"/>
      <c r="B504" s="25"/>
      <c r="C504" s="25"/>
      <c r="D504" s="25"/>
      <c r="E504" s="24"/>
    </row>
    <row r="505" spans="1:5">
      <c r="A505" s="25"/>
      <c r="B505" s="25"/>
      <c r="C505" s="25"/>
      <c r="D505" s="25"/>
      <c r="E505" s="24"/>
    </row>
    <row r="506" spans="1:5">
      <c r="A506" s="25"/>
      <c r="B506" s="25"/>
      <c r="C506" s="25"/>
      <c r="D506" s="25"/>
      <c r="E506" s="24"/>
    </row>
    <row r="507" spans="1:5">
      <c r="A507" s="25"/>
      <c r="B507" s="25"/>
      <c r="C507" s="25"/>
      <c r="D507" s="25"/>
      <c r="E507" s="24"/>
    </row>
    <row r="508" spans="1:5">
      <c r="A508" s="25"/>
      <c r="B508" s="25"/>
      <c r="C508" s="25"/>
      <c r="D508" s="25"/>
      <c r="E508" s="24"/>
    </row>
    <row r="509" spans="1:5">
      <c r="A509" s="25"/>
      <c r="B509" s="25"/>
      <c r="C509" s="25"/>
      <c r="D509" s="25"/>
      <c r="E509" s="24"/>
    </row>
    <row r="510" spans="1:5">
      <c r="A510" s="25"/>
      <c r="B510" s="25"/>
      <c r="C510" s="25"/>
      <c r="D510" s="25"/>
      <c r="E510" s="24"/>
    </row>
    <row r="511" spans="1:5">
      <c r="A511" s="25"/>
      <c r="B511" s="25"/>
      <c r="C511" s="25"/>
      <c r="D511" s="25"/>
      <c r="E511" s="24"/>
    </row>
    <row r="512" spans="1:5">
      <c r="A512" s="25"/>
      <c r="B512" s="25"/>
      <c r="C512" s="25"/>
      <c r="D512" s="25"/>
      <c r="E512" s="24"/>
    </row>
    <row r="513" spans="1:5">
      <c r="A513" s="25"/>
      <c r="B513" s="25"/>
      <c r="C513" s="25"/>
      <c r="D513" s="25"/>
      <c r="E513" s="24"/>
    </row>
    <row r="514" spans="1:5">
      <c r="A514" s="25"/>
      <c r="B514" s="25"/>
      <c r="C514" s="25"/>
      <c r="D514" s="25"/>
      <c r="E514" s="24"/>
    </row>
    <row r="515" spans="1:5">
      <c r="A515" s="25"/>
      <c r="B515" s="25"/>
      <c r="C515" s="25"/>
      <c r="D515" s="25"/>
      <c r="E515" s="24"/>
    </row>
    <row r="516" spans="1:5">
      <c r="A516" s="25"/>
      <c r="B516" s="25"/>
      <c r="C516" s="25"/>
      <c r="D516" s="25"/>
      <c r="E516" s="24"/>
    </row>
    <row r="517" spans="1:5">
      <c r="A517" s="25"/>
      <c r="B517" s="25"/>
      <c r="C517" s="25"/>
      <c r="D517" s="25"/>
      <c r="E517" s="24"/>
    </row>
    <row r="518" spans="1:5">
      <c r="A518" s="25">
        <v>33</v>
      </c>
      <c r="B518" s="25">
        <v>101</v>
      </c>
      <c r="C518" s="25"/>
      <c r="D518" s="25"/>
      <c r="E518" s="24"/>
    </row>
    <row r="519" spans="1:5">
      <c r="A519" s="25">
        <v>103.26</v>
      </c>
      <c r="B519" s="25">
        <v>5.6459999999999999</v>
      </c>
      <c r="C519" s="25"/>
      <c r="D519" s="25"/>
      <c r="E519" s="24"/>
    </row>
    <row r="520" spans="1:5">
      <c r="A520" s="25"/>
      <c r="B520" s="25">
        <f>100000*B519/((((A519/2)^2)*3.1415926)*B518)</f>
        <v>0.66752169416503693</v>
      </c>
      <c r="C520" s="25"/>
      <c r="D520" s="25"/>
      <c r="E520" s="24"/>
    </row>
    <row r="521" spans="1:5">
      <c r="A521" s="25"/>
      <c r="B521" s="25"/>
      <c r="C521" s="25"/>
      <c r="D521" s="25"/>
      <c r="E521" s="24"/>
    </row>
    <row r="522" spans="1:5">
      <c r="A522" s="25"/>
      <c r="B522" s="25"/>
      <c r="C522" s="25"/>
      <c r="D522" s="25"/>
      <c r="E522" s="24"/>
    </row>
    <row r="523" spans="1:5">
      <c r="A523" s="25"/>
      <c r="B523" s="25"/>
      <c r="C523" s="25"/>
      <c r="D523" s="25"/>
      <c r="E523" s="24"/>
    </row>
    <row r="524" spans="1:5">
      <c r="A524" s="25"/>
      <c r="B524" s="25"/>
      <c r="C524" s="25"/>
      <c r="D524" s="25"/>
      <c r="E524" s="24"/>
    </row>
    <row r="525" spans="1:5">
      <c r="A525" s="25"/>
      <c r="B525" s="25"/>
      <c r="C525" s="25"/>
      <c r="D525" s="25"/>
      <c r="E525" s="24"/>
    </row>
    <row r="526" spans="1:5">
      <c r="A526" s="25"/>
      <c r="B526" s="25"/>
      <c r="C526" s="25"/>
      <c r="D526" s="25"/>
      <c r="E526" s="24"/>
    </row>
    <row r="527" spans="1:5">
      <c r="A527" s="25"/>
      <c r="B527" s="25"/>
      <c r="C527" s="25"/>
      <c r="D527" s="25"/>
      <c r="E527" s="24"/>
    </row>
    <row r="528" spans="1:5">
      <c r="A528" s="25"/>
      <c r="B528" s="25"/>
      <c r="C528" s="25"/>
      <c r="D528" s="25"/>
      <c r="E528" s="24"/>
    </row>
    <row r="529" spans="1:5">
      <c r="A529" s="25"/>
      <c r="B529" s="25"/>
      <c r="C529" s="25"/>
      <c r="D529" s="25"/>
      <c r="E529" s="24"/>
    </row>
    <row r="530" spans="1:5">
      <c r="A530" s="25"/>
      <c r="B530" s="25"/>
      <c r="C530" s="25"/>
      <c r="D530" s="25"/>
      <c r="E530" s="24"/>
    </row>
    <row r="531" spans="1:5">
      <c r="A531" s="25"/>
      <c r="B531" s="25"/>
      <c r="C531" s="25"/>
      <c r="D531" s="25"/>
      <c r="E531" s="24"/>
    </row>
    <row r="532" spans="1:5">
      <c r="A532" s="25"/>
      <c r="B532" s="25"/>
      <c r="C532" s="25"/>
      <c r="D532" s="25"/>
      <c r="E532" s="24"/>
    </row>
    <row r="533" spans="1:5">
      <c r="A533" s="25"/>
      <c r="B533" s="25"/>
      <c r="C533" s="25"/>
      <c r="D533" s="25"/>
      <c r="E533" s="24"/>
    </row>
    <row r="534" spans="1:5">
      <c r="A534" s="25"/>
      <c r="B534" s="25"/>
      <c r="C534" s="25"/>
      <c r="D534" s="25"/>
      <c r="E534" s="24"/>
    </row>
    <row r="535" spans="1:5">
      <c r="A535" s="25"/>
      <c r="B535" s="25"/>
      <c r="C535" s="25"/>
      <c r="D535" s="25"/>
      <c r="E535" s="24"/>
    </row>
    <row r="536" spans="1:5">
      <c r="A536" s="25"/>
      <c r="B536" s="25"/>
      <c r="C536" s="25"/>
      <c r="D536" s="25"/>
      <c r="E536" s="24"/>
    </row>
    <row r="537" spans="1:5">
      <c r="A537" s="25"/>
      <c r="B537" s="25"/>
      <c r="C537" s="25"/>
      <c r="D537" s="25"/>
      <c r="E537" s="24"/>
    </row>
    <row r="538" spans="1:5">
      <c r="A538" s="25"/>
      <c r="B538" s="25"/>
      <c r="C538" s="25"/>
      <c r="D538" s="25"/>
      <c r="E538" s="24"/>
    </row>
    <row r="539" spans="1:5">
      <c r="A539" s="25">
        <v>34</v>
      </c>
      <c r="B539" s="25">
        <v>100</v>
      </c>
      <c r="C539" s="25"/>
      <c r="D539" s="25"/>
      <c r="E539" s="24"/>
    </row>
    <row r="540" spans="1:5">
      <c r="A540" s="25">
        <v>103.28</v>
      </c>
      <c r="B540" s="25">
        <v>5.665</v>
      </c>
      <c r="C540" s="25"/>
      <c r="D540" s="25"/>
      <c r="E540" s="24"/>
    </row>
    <row r="541" spans="1:5">
      <c r="A541" s="25"/>
      <c r="B541" s="25">
        <f>100000*B540/((((A540/2)^2)*3.1415926)*B539)</f>
        <v>0.67620376064424048</v>
      </c>
      <c r="C541" s="25"/>
      <c r="D541" s="25"/>
      <c r="E541" s="24"/>
    </row>
    <row r="542" spans="1:5">
      <c r="A542" s="25"/>
      <c r="B542" s="25"/>
      <c r="C542" s="25"/>
      <c r="D542" s="25"/>
      <c r="E542" s="24"/>
    </row>
    <row r="543" spans="1:5">
      <c r="A543" s="25"/>
      <c r="B543" s="25"/>
      <c r="C543" s="25"/>
      <c r="D543" s="25"/>
      <c r="E543" s="24"/>
    </row>
    <row r="544" spans="1:5">
      <c r="A544" s="25"/>
      <c r="B544" s="25"/>
      <c r="C544" s="25"/>
      <c r="D544" s="25"/>
      <c r="E544" s="24"/>
    </row>
    <row r="545" spans="1:5">
      <c r="A545" s="25"/>
      <c r="B545" s="25"/>
      <c r="C545" s="25"/>
      <c r="D545" s="25"/>
      <c r="E545" s="24"/>
    </row>
    <row r="546" spans="1:5">
      <c r="A546" s="25"/>
      <c r="B546" s="25"/>
      <c r="C546" s="25"/>
      <c r="D546" s="25"/>
      <c r="E546" s="24"/>
    </row>
    <row r="547" spans="1:5">
      <c r="A547" s="25"/>
      <c r="B547" s="25"/>
      <c r="C547" s="25"/>
      <c r="D547" s="25"/>
      <c r="E547" s="24"/>
    </row>
    <row r="548" spans="1:5">
      <c r="A548" s="25"/>
      <c r="B548" s="25"/>
      <c r="C548" s="25"/>
      <c r="D548" s="25"/>
      <c r="E548" s="24"/>
    </row>
    <row r="549" spans="1:5">
      <c r="A549" s="25"/>
      <c r="B549" s="25"/>
      <c r="C549" s="25"/>
      <c r="D549" s="25"/>
      <c r="E549" s="24"/>
    </row>
    <row r="550" spans="1:5">
      <c r="A550" s="25"/>
      <c r="B550" s="25"/>
      <c r="C550" s="25"/>
      <c r="D550" s="25"/>
      <c r="E550" s="24"/>
    </row>
    <row r="551" spans="1:5">
      <c r="A551" s="25"/>
      <c r="B551" s="25"/>
      <c r="C551" s="25"/>
      <c r="D551" s="25"/>
      <c r="E551" s="24"/>
    </row>
    <row r="552" spans="1:5">
      <c r="A552" s="25"/>
      <c r="B552" s="25"/>
      <c r="C552" s="25"/>
      <c r="D552" s="25"/>
      <c r="E552" s="24"/>
    </row>
    <row r="553" spans="1:5">
      <c r="A553" s="25"/>
      <c r="B553" s="25"/>
      <c r="C553" s="25"/>
      <c r="D553" s="25"/>
      <c r="E553" s="24"/>
    </row>
    <row r="554" spans="1:5">
      <c r="A554" s="25"/>
      <c r="B554" s="25"/>
      <c r="C554" s="25"/>
      <c r="D554" s="25"/>
      <c r="E554" s="24"/>
    </row>
    <row r="555" spans="1:5">
      <c r="A555" s="25"/>
      <c r="B555" s="25"/>
      <c r="C555" s="25"/>
      <c r="D555" s="25"/>
      <c r="E555" s="24"/>
    </row>
    <row r="556" spans="1:5">
      <c r="A556" s="25"/>
      <c r="B556" s="25"/>
      <c r="C556" s="25"/>
      <c r="D556" s="25"/>
      <c r="E556" s="24"/>
    </row>
    <row r="557" spans="1:5">
      <c r="A557" s="25"/>
      <c r="B557" s="25"/>
      <c r="C557" s="25"/>
      <c r="D557" s="25"/>
      <c r="E557" s="24"/>
    </row>
    <row r="558" spans="1:5">
      <c r="A558" s="25"/>
      <c r="B558" s="25"/>
      <c r="C558" s="25"/>
      <c r="D558" s="25"/>
      <c r="E558" s="24"/>
    </row>
    <row r="559" spans="1:5">
      <c r="A559" s="25">
        <v>35</v>
      </c>
      <c r="B559" s="25">
        <v>100</v>
      </c>
      <c r="C559" s="25"/>
      <c r="D559" s="25"/>
      <c r="E559" s="24"/>
    </row>
    <row r="560" spans="1:5">
      <c r="A560" s="25">
        <v>103.34</v>
      </c>
      <c r="B560" s="25">
        <v>5.7270000000000003</v>
      </c>
      <c r="C560" s="25"/>
      <c r="D560" s="25"/>
      <c r="E560" s="24"/>
    </row>
    <row r="561" spans="1:5">
      <c r="A561" s="25"/>
      <c r="B561" s="25">
        <f>100000*B560/((((A560/2)^2)*3.1415926)*B559)</f>
        <v>0.68281082046259434</v>
      </c>
      <c r="C561" s="25"/>
      <c r="D561" s="25"/>
      <c r="E561" s="24"/>
    </row>
    <row r="562" spans="1:5">
      <c r="A562" s="25"/>
      <c r="B562" s="25"/>
      <c r="C562" s="25"/>
      <c r="D562" s="25"/>
      <c r="E562" s="24"/>
    </row>
    <row r="563" spans="1:5">
      <c r="A563" s="25"/>
      <c r="B563" s="25"/>
      <c r="C563" s="25"/>
      <c r="D563" s="25"/>
      <c r="E563" s="24"/>
    </row>
    <row r="564" spans="1:5">
      <c r="A564" s="25"/>
      <c r="B564" s="25"/>
      <c r="C564" s="25"/>
      <c r="D564" s="25"/>
      <c r="E564" s="24"/>
    </row>
    <row r="565" spans="1:5">
      <c r="A565" s="25"/>
      <c r="B565" s="25"/>
      <c r="C565" s="25"/>
      <c r="D565" s="25"/>
      <c r="E565" s="24"/>
    </row>
    <row r="566" spans="1:5">
      <c r="A566" s="25"/>
      <c r="B566" s="25"/>
      <c r="C566" s="25"/>
      <c r="D566" s="25"/>
      <c r="E566" s="24"/>
    </row>
    <row r="567" spans="1:5">
      <c r="A567" s="25"/>
      <c r="B567" s="25"/>
      <c r="C567" s="25"/>
      <c r="D567" s="25"/>
      <c r="E567" s="24"/>
    </row>
    <row r="568" spans="1:5">
      <c r="A568" s="25"/>
      <c r="B568" s="25"/>
      <c r="C568" s="25"/>
      <c r="D568" s="25"/>
      <c r="E568" s="24"/>
    </row>
    <row r="569" spans="1:5">
      <c r="A569" s="25"/>
      <c r="B569" s="25"/>
      <c r="C569" s="25"/>
      <c r="D569" s="25"/>
      <c r="E569" s="24"/>
    </row>
    <row r="570" spans="1:5">
      <c r="A570" s="25"/>
      <c r="B570" s="25"/>
      <c r="C570" s="25"/>
      <c r="D570" s="25"/>
      <c r="E570" s="24"/>
    </row>
    <row r="571" spans="1:5">
      <c r="A571" s="25"/>
      <c r="B571" s="25"/>
      <c r="C571" s="25"/>
      <c r="D571" s="25"/>
      <c r="E571" s="24"/>
    </row>
    <row r="572" spans="1:5">
      <c r="A572" s="25"/>
      <c r="B572" s="25"/>
      <c r="C572" s="25"/>
      <c r="D572" s="25"/>
      <c r="E572" s="24"/>
    </row>
    <row r="573" spans="1:5">
      <c r="A573" s="25"/>
      <c r="B573" s="25"/>
      <c r="C573" s="25"/>
      <c r="D573" s="25"/>
      <c r="E573" s="24"/>
    </row>
    <row r="574" spans="1:5">
      <c r="A574" s="25"/>
      <c r="B574" s="25"/>
      <c r="C574" s="25"/>
      <c r="D574" s="25"/>
      <c r="E574" s="24"/>
    </row>
    <row r="575" spans="1:5">
      <c r="A575" s="25"/>
      <c r="B575" s="25"/>
      <c r="C575" s="25"/>
      <c r="D575" s="25"/>
      <c r="E575" s="24"/>
    </row>
    <row r="576" spans="1:5">
      <c r="A576" s="25"/>
      <c r="B576" s="25"/>
      <c r="C576" s="25"/>
      <c r="D576" s="25"/>
      <c r="E576" s="24"/>
    </row>
    <row r="577" spans="1:5">
      <c r="A577" s="25"/>
      <c r="B577" s="25"/>
      <c r="C577" s="25"/>
      <c r="D577" s="25"/>
      <c r="E577" s="24"/>
    </row>
    <row r="578" spans="1:5">
      <c r="A578" s="25"/>
      <c r="B578" s="25"/>
      <c r="C578" s="25"/>
      <c r="D578" s="25"/>
      <c r="E578" s="24"/>
    </row>
    <row r="579" spans="1:5">
      <c r="A579" s="25"/>
      <c r="B579" s="25"/>
      <c r="C579" s="25"/>
      <c r="D579" s="25"/>
      <c r="E579" s="24"/>
    </row>
    <row r="580" spans="1:5">
      <c r="A580" s="25"/>
      <c r="B580" s="25"/>
      <c r="C580" s="25"/>
      <c r="D580" s="25"/>
      <c r="E580" s="24"/>
    </row>
    <row r="581" spans="1:5">
      <c r="A581" s="25"/>
      <c r="B581" s="25"/>
      <c r="C581" s="25"/>
      <c r="D581" s="25"/>
      <c r="E581" s="24"/>
    </row>
    <row r="582" spans="1:5">
      <c r="A582" s="25"/>
      <c r="B582" s="25"/>
      <c r="C582" s="25"/>
      <c r="D582" s="25"/>
      <c r="E582" s="24"/>
    </row>
    <row r="583" spans="1:5">
      <c r="A583" s="25">
        <v>36</v>
      </c>
      <c r="B583" s="25">
        <v>102</v>
      </c>
      <c r="C583" s="25"/>
      <c r="D583" s="25"/>
      <c r="E583" s="24"/>
    </row>
    <row r="584" spans="1:5">
      <c r="A584" s="25">
        <v>103.37</v>
      </c>
      <c r="B584" s="25">
        <v>5.9359999999999999</v>
      </c>
      <c r="C584" s="25"/>
      <c r="D584" s="25"/>
      <c r="E584" s="24"/>
    </row>
    <row r="585" spans="1:5">
      <c r="A585" s="25"/>
      <c r="B585" s="25">
        <f>100000*B584/((((A584/2)^2)*3.1415926)*B583)</f>
        <v>0.69344945952437509</v>
      </c>
      <c r="C585" s="25"/>
      <c r="D585" s="25"/>
      <c r="E585" s="24"/>
    </row>
    <row r="586" spans="1:5">
      <c r="A586" s="25"/>
      <c r="B586" s="25"/>
      <c r="C586" s="25"/>
      <c r="D586" s="25"/>
      <c r="E586" s="24"/>
    </row>
    <row r="587" spans="1:5">
      <c r="A587" s="25"/>
      <c r="B587" s="25"/>
      <c r="C587" s="25"/>
      <c r="D587" s="25"/>
      <c r="E587" s="24"/>
    </row>
    <row r="588" spans="1:5">
      <c r="A588" s="25"/>
      <c r="B588" s="25"/>
      <c r="C588" s="25"/>
      <c r="D588" s="25"/>
      <c r="E588" s="24"/>
    </row>
    <row r="589" spans="1:5">
      <c r="A589" s="25"/>
      <c r="B589" s="25"/>
      <c r="C589" s="25"/>
      <c r="D589" s="25"/>
      <c r="E589" s="24"/>
    </row>
    <row r="590" spans="1:5">
      <c r="A590" s="25"/>
      <c r="B590" s="25"/>
      <c r="C590" s="25"/>
      <c r="D590" s="25"/>
      <c r="E590" s="24"/>
    </row>
    <row r="591" spans="1:5">
      <c r="A591" s="25"/>
      <c r="B591" s="25"/>
      <c r="C591" s="25"/>
      <c r="D591" s="25"/>
      <c r="E591" s="24"/>
    </row>
    <row r="592" spans="1:5">
      <c r="A592" s="25"/>
      <c r="B592" s="25"/>
      <c r="C592" s="25"/>
      <c r="D592" s="25"/>
      <c r="E592" s="24"/>
    </row>
    <row r="593" spans="1:5">
      <c r="A593" s="25"/>
      <c r="B593" s="25"/>
      <c r="C593" s="25"/>
      <c r="D593" s="25"/>
      <c r="E593" s="24"/>
    </row>
    <row r="594" spans="1:5">
      <c r="A594" s="25"/>
      <c r="B594" s="25"/>
      <c r="C594" s="25"/>
      <c r="D594" s="25"/>
      <c r="E594" s="24"/>
    </row>
    <row r="595" spans="1:5">
      <c r="A595" s="25"/>
      <c r="B595" s="25"/>
      <c r="C595" s="25"/>
      <c r="D595" s="25"/>
      <c r="E595" s="24"/>
    </row>
    <row r="596" spans="1:5">
      <c r="A596" s="25"/>
      <c r="B596" s="25"/>
      <c r="C596" s="25"/>
      <c r="D596" s="25"/>
      <c r="E596" s="24"/>
    </row>
    <row r="597" spans="1:5">
      <c r="A597" s="25"/>
      <c r="B597" s="25"/>
      <c r="C597" s="25"/>
      <c r="D597" s="25"/>
      <c r="E597" s="24"/>
    </row>
    <row r="598" spans="1:5">
      <c r="A598" s="25"/>
      <c r="B598" s="25"/>
      <c r="C598" s="25"/>
      <c r="D598" s="25"/>
      <c r="E598" s="24"/>
    </row>
    <row r="599" spans="1:5">
      <c r="A599" s="25"/>
      <c r="B599" s="25"/>
      <c r="C599" s="25"/>
      <c r="D599" s="25"/>
      <c r="E599" s="24"/>
    </row>
    <row r="600" spans="1:5">
      <c r="A600" s="25"/>
      <c r="B600" s="25"/>
      <c r="C600" s="25"/>
      <c r="D600" s="25"/>
      <c r="E600" s="24"/>
    </row>
    <row r="601" spans="1:5">
      <c r="A601" s="25"/>
      <c r="B601" s="25"/>
      <c r="C601" s="25"/>
      <c r="D601" s="25"/>
      <c r="E601" s="24"/>
    </row>
    <row r="602" spans="1:5">
      <c r="A602" s="25"/>
      <c r="B602" s="25"/>
      <c r="C602" s="25"/>
      <c r="D602" s="25"/>
      <c r="E602" s="24"/>
    </row>
    <row r="603" spans="1:5">
      <c r="A603" s="25"/>
      <c r="B603" s="25"/>
      <c r="C603" s="25"/>
      <c r="D603" s="25"/>
      <c r="E603" s="24"/>
    </row>
    <row r="604" spans="1:5">
      <c r="A604" s="25"/>
      <c r="B604" s="25"/>
      <c r="C604" s="25"/>
      <c r="D604" s="25"/>
      <c r="E604" s="24"/>
    </row>
    <row r="605" spans="1:5">
      <c r="A605" s="25"/>
      <c r="B605" s="25"/>
      <c r="C605" s="25"/>
      <c r="D605" s="25"/>
      <c r="E605" s="24"/>
    </row>
    <row r="606" spans="1:5">
      <c r="A606" s="25"/>
      <c r="B606" s="25"/>
      <c r="C606" s="25"/>
      <c r="D606" s="25"/>
      <c r="E606" s="24"/>
    </row>
    <row r="607" spans="1:5">
      <c r="A607" s="25"/>
      <c r="B607" s="25"/>
      <c r="C607" s="25"/>
      <c r="D607" s="25"/>
      <c r="E607" s="24"/>
    </row>
    <row r="608" spans="1:5">
      <c r="A608" s="25"/>
      <c r="B608" s="25"/>
      <c r="C608" s="25"/>
      <c r="D608" s="25"/>
      <c r="E608" s="24"/>
    </row>
    <row r="609" spans="1:5">
      <c r="A609" s="25"/>
      <c r="B609" s="25"/>
      <c r="C609" s="25"/>
      <c r="D609" s="25"/>
      <c r="E609" s="24"/>
    </row>
    <row r="610" spans="1:5">
      <c r="A610" s="25"/>
      <c r="B610" s="25"/>
      <c r="C610" s="25"/>
      <c r="D610" s="25"/>
      <c r="E610" s="24"/>
    </row>
    <row r="611" spans="1:5">
      <c r="A611" s="25"/>
      <c r="B611" s="25"/>
      <c r="C611" s="25"/>
      <c r="D611" s="25"/>
      <c r="E611" s="24"/>
    </row>
    <row r="612" spans="1:5">
      <c r="A612" s="25"/>
      <c r="B612" s="25"/>
      <c r="C612" s="25"/>
      <c r="D612" s="25"/>
      <c r="E612" s="24"/>
    </row>
    <row r="613" spans="1:5">
      <c r="A613" s="25"/>
      <c r="B613" s="25"/>
      <c r="C613" s="25"/>
      <c r="D613" s="25"/>
      <c r="E613" s="24"/>
    </row>
    <row r="614" spans="1:5">
      <c r="A614" s="25"/>
      <c r="B614" s="25"/>
      <c r="C614" s="25"/>
      <c r="D614" s="25"/>
      <c r="E614" s="24"/>
    </row>
    <row r="615" spans="1:5">
      <c r="A615" s="25"/>
      <c r="B615" s="25"/>
      <c r="C615" s="25"/>
      <c r="D615" s="25"/>
      <c r="E615" s="24"/>
    </row>
    <row r="616" spans="1:5">
      <c r="A616" s="25">
        <v>37</v>
      </c>
      <c r="B616" s="25">
        <v>101.5</v>
      </c>
      <c r="C616" s="25"/>
      <c r="D616" s="25"/>
      <c r="E616" s="24"/>
    </row>
    <row r="617" spans="1:5">
      <c r="A617" s="25">
        <f>(41.5/101.5)*103.81+(60/101.5)*94.02</f>
        <v>98.022807881773403</v>
      </c>
      <c r="B617" s="25">
        <v>5.335</v>
      </c>
      <c r="C617" s="25"/>
      <c r="D617" s="25"/>
      <c r="E617" s="24"/>
    </row>
    <row r="618" spans="1:5">
      <c r="A618" s="25"/>
      <c r="B618" s="25">
        <f>100000*B617/((((A617/2)^2)*3.1415926)*B616)</f>
        <v>0.69650498638211777</v>
      </c>
      <c r="C618" s="25"/>
      <c r="D618" s="25"/>
      <c r="E618" s="24"/>
    </row>
    <row r="619" spans="1:5">
      <c r="A619" s="25"/>
      <c r="B619" s="25"/>
      <c r="C619" s="25"/>
      <c r="D619" s="25"/>
      <c r="E619" s="24"/>
    </row>
    <row r="620" spans="1:5">
      <c r="A620" s="25"/>
      <c r="B620" s="25"/>
      <c r="C620" s="25"/>
      <c r="D620" s="25"/>
      <c r="E620" s="24"/>
    </row>
    <row r="621" spans="1:5">
      <c r="A621" s="25"/>
      <c r="B621" s="25"/>
      <c r="C621" s="25"/>
      <c r="D621" s="25"/>
      <c r="E621" s="24"/>
    </row>
    <row r="622" spans="1:5">
      <c r="A622" s="25"/>
      <c r="B622" s="25"/>
      <c r="C622" s="25"/>
      <c r="D622" s="25"/>
      <c r="E622" s="24"/>
    </row>
    <row r="623" spans="1:5">
      <c r="A623" s="25"/>
      <c r="B623" s="25"/>
      <c r="C623" s="25"/>
      <c r="D623" s="25"/>
      <c r="E623" s="24"/>
    </row>
    <row r="624" spans="1:5">
      <c r="A624" s="25"/>
      <c r="B624" s="25"/>
      <c r="C624" s="25"/>
      <c r="D624" s="25"/>
      <c r="E624" s="24"/>
    </row>
    <row r="625" spans="1:5">
      <c r="A625" s="25"/>
      <c r="B625" s="25"/>
      <c r="C625" s="25"/>
      <c r="D625" s="25"/>
      <c r="E625" s="24"/>
    </row>
    <row r="626" spans="1:5">
      <c r="A626" s="25"/>
      <c r="B626" s="25"/>
      <c r="C626" s="25"/>
      <c r="D626" s="25"/>
      <c r="E626" s="24"/>
    </row>
    <row r="627" spans="1:5">
      <c r="A627" s="25">
        <v>38</v>
      </c>
      <c r="B627" s="25">
        <v>101.5</v>
      </c>
      <c r="C627" s="25"/>
      <c r="D627" s="25"/>
      <c r="E627" s="24"/>
    </row>
    <row r="628" spans="1:5">
      <c r="A628" s="25">
        <v>93.8</v>
      </c>
      <c r="B628" s="25">
        <v>4.9710000000000001</v>
      </c>
      <c r="C628" s="25"/>
      <c r="D628" s="25"/>
      <c r="E628" s="24"/>
    </row>
    <row r="629" spans="1:5">
      <c r="A629" s="25"/>
      <c r="B629" s="25">
        <f>100000*B628/((((A628/2)^2)*3.1415926)*B627)</f>
        <v>0.70873220907121703</v>
      </c>
      <c r="C629" s="25"/>
      <c r="D629" s="25"/>
      <c r="E629" s="24"/>
    </row>
    <row r="630" spans="1:5">
      <c r="A630" s="25"/>
      <c r="B630" s="25"/>
      <c r="C630" s="25"/>
      <c r="D630" s="25"/>
      <c r="E630" s="24"/>
    </row>
    <row r="631" spans="1:5">
      <c r="A631" s="25"/>
      <c r="B631" s="25"/>
      <c r="C631" s="25"/>
      <c r="D631" s="25"/>
      <c r="E631" s="24"/>
    </row>
    <row r="632" spans="1:5">
      <c r="A632" s="25"/>
      <c r="B632" s="25"/>
      <c r="C632" s="25"/>
      <c r="D632" s="25"/>
      <c r="E632" s="24"/>
    </row>
    <row r="633" spans="1:5">
      <c r="A633" s="25"/>
      <c r="B633" s="25"/>
      <c r="C633" s="25"/>
      <c r="D633" s="25"/>
      <c r="E633" s="24"/>
    </row>
    <row r="634" spans="1:5">
      <c r="A634" s="25"/>
      <c r="B634" s="25"/>
      <c r="C634" s="25"/>
      <c r="D634" s="25"/>
      <c r="E634" s="24"/>
    </row>
    <row r="635" spans="1:5">
      <c r="A635" s="25"/>
      <c r="B635" s="25"/>
      <c r="C635" s="25"/>
      <c r="D635" s="25"/>
      <c r="E635" s="24"/>
    </row>
    <row r="636" spans="1:5">
      <c r="A636" s="25"/>
      <c r="B636" s="25"/>
      <c r="C636" s="25"/>
      <c r="D636" s="25"/>
      <c r="E636" s="24"/>
    </row>
    <row r="637" spans="1:5">
      <c r="A637" s="25"/>
      <c r="B637" s="25"/>
      <c r="C637" s="25"/>
      <c r="D637" s="25"/>
      <c r="E637" s="24"/>
    </row>
    <row r="638" spans="1:5">
      <c r="A638" s="25"/>
      <c r="B638" s="25"/>
      <c r="C638" s="25"/>
      <c r="D638" s="25"/>
      <c r="E638" s="24"/>
    </row>
    <row r="639" spans="1:5">
      <c r="A639" s="25"/>
      <c r="B639" s="25"/>
      <c r="C639" s="25"/>
      <c r="D639" s="25"/>
      <c r="E639" s="24"/>
    </row>
    <row r="640" spans="1:5">
      <c r="A640" s="25"/>
      <c r="B640" s="25"/>
      <c r="C640" s="25"/>
      <c r="D640" s="25"/>
      <c r="E640" s="24"/>
    </row>
    <row r="641" spans="1:5">
      <c r="A641" s="25"/>
      <c r="B641" s="25"/>
      <c r="C641" s="25"/>
      <c r="D641" s="25"/>
      <c r="E641" s="24"/>
    </row>
    <row r="642" spans="1:5">
      <c r="A642" s="25"/>
      <c r="B642" s="25"/>
      <c r="C642" s="25"/>
      <c r="D642" s="25"/>
      <c r="E642" s="24"/>
    </row>
    <row r="643" spans="1:5">
      <c r="A643" s="25">
        <v>39</v>
      </c>
      <c r="B643" s="25">
        <v>101.5</v>
      </c>
      <c r="C643" s="25"/>
      <c r="D643" s="25"/>
      <c r="E643" s="24"/>
    </row>
    <row r="644" spans="1:5">
      <c r="A644" s="25">
        <f>(70.5/101.5)*93.79+(31/101.5)*101.97</f>
        <v>96.288325123152717</v>
      </c>
      <c r="B644" s="25">
        <v>4.9889999999999999</v>
      </c>
      <c r="C644" s="25"/>
      <c r="D644" s="25"/>
      <c r="E644" s="24"/>
    </row>
    <row r="645" spans="1:5">
      <c r="A645" s="25"/>
      <c r="B645" s="25">
        <f>100000*B644/((((A644/2)^2)*3.1415926)*B643)</f>
        <v>0.67501018027967297</v>
      </c>
      <c r="C645" s="25"/>
      <c r="D645" s="25"/>
      <c r="E645" s="24"/>
    </row>
    <row r="646" spans="1:5">
      <c r="A646" s="25"/>
      <c r="B646" s="24" t="s">
        <v>274</v>
      </c>
      <c r="C646" s="25"/>
      <c r="D646" s="25"/>
      <c r="E646" s="24"/>
    </row>
    <row r="647" spans="1:5">
      <c r="A647" s="25"/>
      <c r="B647" s="25"/>
      <c r="C647" s="25"/>
      <c r="D647" s="25"/>
      <c r="E647" s="24"/>
    </row>
    <row r="648" spans="1:5">
      <c r="A648" s="25"/>
      <c r="B648" s="25"/>
      <c r="C648" s="25"/>
      <c r="D648" s="25"/>
      <c r="E648" s="24"/>
    </row>
    <row r="649" spans="1:5">
      <c r="A649" s="25"/>
      <c r="B649" s="25"/>
      <c r="C649" s="25"/>
      <c r="D649" s="25"/>
      <c r="E649" s="24"/>
    </row>
    <row r="650" spans="1:5">
      <c r="A650" s="25"/>
      <c r="B650" s="25"/>
      <c r="C650" s="25"/>
      <c r="D650" s="25"/>
      <c r="E650" s="24"/>
    </row>
    <row r="651" spans="1:5">
      <c r="A651" s="25"/>
      <c r="B651" s="25"/>
      <c r="C651" s="25"/>
      <c r="D651" s="25"/>
      <c r="E651" s="24"/>
    </row>
    <row r="652" spans="1:5">
      <c r="A652" s="25"/>
      <c r="B652" s="25"/>
      <c r="C652" s="25"/>
      <c r="D652" s="25"/>
      <c r="E652" s="24"/>
    </row>
    <row r="653" spans="1:5">
      <c r="A653" s="25"/>
      <c r="B653" s="25"/>
      <c r="C653" s="25"/>
      <c r="D653" s="25"/>
      <c r="E653" s="24"/>
    </row>
    <row r="654" spans="1:5">
      <c r="A654" s="25"/>
      <c r="B654" s="25"/>
      <c r="C654" s="25"/>
      <c r="D654" s="25"/>
      <c r="E654" s="24"/>
    </row>
    <row r="655" spans="1:5">
      <c r="A655" s="25"/>
      <c r="B655" s="25"/>
      <c r="C655" s="25"/>
      <c r="D655" s="25"/>
      <c r="E655" s="24"/>
    </row>
    <row r="656" spans="1:5">
      <c r="A656" s="25"/>
      <c r="B656" s="25"/>
      <c r="C656" s="25"/>
      <c r="D656" s="25"/>
      <c r="E656" s="24"/>
    </row>
    <row r="657" spans="1:5">
      <c r="A657" s="25"/>
      <c r="B657" s="25"/>
      <c r="C657" s="25"/>
      <c r="D657" s="25"/>
      <c r="E657" s="24"/>
    </row>
    <row r="658" spans="1:5">
      <c r="A658" s="25"/>
      <c r="B658" s="25"/>
      <c r="C658" s="25"/>
      <c r="D658" s="25"/>
      <c r="E658" s="24"/>
    </row>
    <row r="659" spans="1:5">
      <c r="A659" s="25"/>
      <c r="B659" s="25"/>
      <c r="C659" s="25"/>
      <c r="D659" s="25"/>
      <c r="E659" s="24"/>
    </row>
    <row r="660" spans="1:5">
      <c r="A660" s="25"/>
      <c r="B660" s="25"/>
      <c r="C660" s="25"/>
      <c r="D660" s="25"/>
      <c r="E660" s="24"/>
    </row>
    <row r="661" spans="1:5">
      <c r="A661" s="25"/>
      <c r="B661" s="25"/>
      <c r="C661" s="25"/>
      <c r="D661" s="25"/>
      <c r="E661" s="24"/>
    </row>
    <row r="662" spans="1:5">
      <c r="A662" s="25"/>
      <c r="B662" s="25"/>
      <c r="C662" s="25"/>
      <c r="D662" s="25"/>
      <c r="E662" s="24"/>
    </row>
    <row r="663" spans="1:5">
      <c r="A663" s="25"/>
      <c r="B663" s="25"/>
      <c r="C663" s="25"/>
      <c r="D663" s="25"/>
      <c r="E663" s="24"/>
    </row>
    <row r="664" spans="1:5">
      <c r="A664" s="25"/>
      <c r="B664" s="25"/>
      <c r="C664" s="25"/>
      <c r="D664" s="25"/>
      <c r="E664" s="24"/>
    </row>
    <row r="665" spans="1:5">
      <c r="A665" s="25"/>
      <c r="B665" s="25"/>
      <c r="C665" s="25"/>
      <c r="D665" s="25"/>
      <c r="E665" s="24"/>
    </row>
    <row r="666" spans="1:5">
      <c r="A666" s="25"/>
      <c r="B666" s="25"/>
      <c r="C666" s="25"/>
      <c r="D666" s="25"/>
      <c r="E666" s="24"/>
    </row>
    <row r="667" spans="1:5">
      <c r="A667" s="25"/>
      <c r="B667" s="25"/>
      <c r="C667" s="25"/>
      <c r="D667" s="25"/>
      <c r="E667" s="24"/>
    </row>
    <row r="668" spans="1:5">
      <c r="A668" s="25"/>
      <c r="B668" s="25"/>
      <c r="C668" s="25"/>
      <c r="D668" s="25"/>
      <c r="E668" s="24"/>
    </row>
    <row r="669" spans="1:5">
      <c r="A669" s="25">
        <v>40</v>
      </c>
      <c r="B669" s="25">
        <v>101</v>
      </c>
      <c r="C669" s="25"/>
      <c r="D669" s="25"/>
      <c r="E669" s="24"/>
    </row>
    <row r="670" spans="1:5">
      <c r="A670" s="25">
        <v>102.34</v>
      </c>
      <c r="B670" s="25">
        <v>5.774</v>
      </c>
      <c r="C670" s="25"/>
      <c r="D670" s="25"/>
      <c r="E670" s="24"/>
    </row>
    <row r="671" spans="1:5">
      <c r="A671" s="25"/>
      <c r="B671" s="25">
        <f>100000*B670/((((A670/2)^2)*3.1415926)*B669)</f>
        <v>0.69498384029933336</v>
      </c>
      <c r="C671" s="25"/>
      <c r="D671" s="25"/>
      <c r="E671" s="24"/>
    </row>
    <row r="672" spans="1:5">
      <c r="A672" s="25"/>
      <c r="B672" s="25"/>
      <c r="C672" s="25"/>
      <c r="D672" s="25"/>
      <c r="E672" s="24"/>
    </row>
    <row r="673" spans="1:5">
      <c r="A673" s="25"/>
      <c r="B673" s="25"/>
      <c r="C673" s="25"/>
      <c r="D673" s="25"/>
      <c r="E673" s="24"/>
    </row>
    <row r="674" spans="1:5">
      <c r="A674" s="25"/>
      <c r="B674" s="25"/>
      <c r="C674" s="25"/>
      <c r="D674" s="25"/>
      <c r="E674" s="24"/>
    </row>
    <row r="675" spans="1:5">
      <c r="A675" s="25"/>
      <c r="B675" s="25"/>
      <c r="C675" s="25"/>
      <c r="D675" s="25"/>
      <c r="E675" s="24"/>
    </row>
    <row r="676" spans="1:5">
      <c r="A676" s="25"/>
      <c r="B676" s="25"/>
      <c r="C676" s="25"/>
      <c r="D676" s="25"/>
      <c r="E676" s="24"/>
    </row>
    <row r="677" spans="1:5">
      <c r="A677" s="25"/>
      <c r="B677" s="25"/>
      <c r="C677" s="25"/>
      <c r="D677" s="25"/>
      <c r="E677" s="24"/>
    </row>
    <row r="678" spans="1:5">
      <c r="A678" s="25"/>
      <c r="B678" s="25"/>
      <c r="C678" s="25"/>
      <c r="D678" s="25"/>
      <c r="E678" s="24"/>
    </row>
    <row r="679" spans="1:5">
      <c r="A679" s="25"/>
      <c r="B679" s="25"/>
      <c r="C679" s="25"/>
      <c r="D679" s="25"/>
      <c r="E679" s="24"/>
    </row>
    <row r="680" spans="1:5">
      <c r="A680" s="25"/>
      <c r="B680" s="25"/>
      <c r="C680" s="25"/>
      <c r="D680" s="25"/>
      <c r="E680" s="24"/>
    </row>
    <row r="681" spans="1:5">
      <c r="A681" s="25"/>
      <c r="B681" s="25"/>
      <c r="C681" s="25"/>
      <c r="D681" s="25"/>
      <c r="E681" s="24"/>
    </row>
    <row r="682" spans="1:5">
      <c r="A682" s="25"/>
      <c r="B682" s="25"/>
      <c r="C682" s="25"/>
      <c r="D682" s="25"/>
      <c r="E682" s="24"/>
    </row>
    <row r="683" spans="1:5">
      <c r="A683" s="25"/>
      <c r="B683" s="25"/>
      <c r="C683" s="25"/>
      <c r="D683" s="25"/>
      <c r="E683" s="24"/>
    </row>
    <row r="684" spans="1:5">
      <c r="A684" s="25"/>
      <c r="B684" s="25"/>
      <c r="C684" s="25"/>
      <c r="D684" s="25"/>
      <c r="E684" s="24"/>
    </row>
    <row r="685" spans="1:5">
      <c r="A685" s="25"/>
      <c r="B685" s="25"/>
      <c r="C685" s="25"/>
      <c r="D685" s="25"/>
      <c r="E685" s="24"/>
    </row>
    <row r="686" spans="1:5">
      <c r="A686" s="25"/>
      <c r="B686" s="25"/>
      <c r="C686" s="25"/>
      <c r="D686" s="25"/>
      <c r="E686" s="24"/>
    </row>
    <row r="687" spans="1:5">
      <c r="A687" s="25"/>
      <c r="B687" s="25"/>
      <c r="C687" s="25"/>
      <c r="D687" s="25"/>
      <c r="E687" s="24"/>
    </row>
    <row r="688" spans="1:5">
      <c r="A688" s="25"/>
      <c r="B688" s="25"/>
      <c r="C688" s="25"/>
      <c r="D688" s="25"/>
      <c r="E688" s="24"/>
    </row>
    <row r="689" spans="1:5">
      <c r="A689" s="25"/>
      <c r="B689" s="25"/>
      <c r="C689" s="25"/>
      <c r="D689" s="25"/>
      <c r="E689" s="24"/>
    </row>
    <row r="690" spans="1:5">
      <c r="A690" s="25"/>
      <c r="B690" s="25"/>
      <c r="C690" s="25"/>
      <c r="D690" s="25"/>
      <c r="E690" s="24"/>
    </row>
    <row r="691" spans="1:5">
      <c r="A691" s="25"/>
      <c r="B691" s="25"/>
      <c r="C691" s="25"/>
      <c r="D691" s="25"/>
      <c r="E691" s="24"/>
    </row>
    <row r="692" spans="1:5">
      <c r="A692" s="25"/>
      <c r="B692" s="25"/>
      <c r="C692" s="25"/>
      <c r="D692" s="25"/>
      <c r="E692" s="24"/>
    </row>
    <row r="693" spans="1:5">
      <c r="A693" s="25"/>
      <c r="B693" s="25"/>
      <c r="C693" s="25"/>
      <c r="D693" s="25"/>
      <c r="E693" s="24"/>
    </row>
    <row r="694" spans="1:5">
      <c r="A694" s="25"/>
      <c r="B694" s="25"/>
      <c r="C694" s="25"/>
      <c r="D694" s="25"/>
      <c r="E694" s="24"/>
    </row>
    <row r="695" spans="1:5">
      <c r="A695" s="25">
        <v>41</v>
      </c>
      <c r="B695" s="25">
        <v>99</v>
      </c>
      <c r="C695" s="25"/>
      <c r="D695" s="25"/>
      <c r="E695" s="24"/>
    </row>
    <row r="696" spans="1:5">
      <c r="A696" s="25">
        <v>102.32</v>
      </c>
      <c r="B696" s="25">
        <v>5.73</v>
      </c>
      <c r="C696" s="25"/>
      <c r="D696" s="25"/>
      <c r="E696" s="24"/>
    </row>
    <row r="697" spans="1:5">
      <c r="A697" s="25"/>
      <c r="B697" s="25">
        <f>100000*B696/((((A696/2)^2)*3.1415926)*B695)</f>
        <v>0.7038959889905978</v>
      </c>
      <c r="C697" s="25"/>
      <c r="D697" s="25"/>
      <c r="E697" s="24"/>
    </row>
    <row r="698" spans="1:5">
      <c r="A698" s="25"/>
      <c r="B698" s="25"/>
      <c r="C698" s="25"/>
      <c r="D698" s="25"/>
      <c r="E698" s="24"/>
    </row>
    <row r="699" spans="1:5">
      <c r="A699" s="25"/>
      <c r="B699" s="25"/>
      <c r="C699" s="25"/>
      <c r="D699" s="25"/>
      <c r="E699" s="24"/>
    </row>
    <row r="700" spans="1:5">
      <c r="A700" s="25"/>
      <c r="B700" s="25"/>
      <c r="C700" s="25"/>
      <c r="D700" s="25"/>
      <c r="E700" s="24"/>
    </row>
    <row r="701" spans="1:5">
      <c r="A701" s="25"/>
      <c r="B701" s="25"/>
      <c r="C701" s="25"/>
      <c r="D701" s="25"/>
      <c r="E701" s="24"/>
    </row>
    <row r="702" spans="1:5">
      <c r="A702" s="25"/>
      <c r="B702" s="25"/>
      <c r="C702" s="25"/>
      <c r="D702" s="25"/>
      <c r="E702" s="24"/>
    </row>
    <row r="703" spans="1:5">
      <c r="A703" s="25"/>
      <c r="B703" s="25"/>
      <c r="C703" s="25"/>
      <c r="D703" s="25"/>
      <c r="E703" s="24"/>
    </row>
    <row r="704" spans="1:5">
      <c r="A704" s="25"/>
      <c r="B704" s="25"/>
      <c r="C704" s="25"/>
      <c r="D704" s="25"/>
      <c r="E704" s="24"/>
    </row>
    <row r="705" spans="1:5">
      <c r="A705" s="25"/>
      <c r="B705" s="25"/>
      <c r="C705" s="25"/>
      <c r="D705" s="25"/>
      <c r="E705" s="24"/>
    </row>
    <row r="706" spans="1:5">
      <c r="A706" s="25"/>
      <c r="B706" s="25"/>
      <c r="C706" s="25"/>
      <c r="D706" s="25"/>
      <c r="E706" s="24"/>
    </row>
    <row r="707" spans="1:5">
      <c r="A707" s="25"/>
      <c r="B707" s="25"/>
      <c r="C707" s="25"/>
      <c r="D707" s="25"/>
      <c r="E707" s="24"/>
    </row>
    <row r="708" spans="1:5">
      <c r="A708" s="25"/>
      <c r="B708" s="25"/>
      <c r="C708" s="25"/>
      <c r="D708" s="25"/>
      <c r="E708" s="24"/>
    </row>
    <row r="709" spans="1:5">
      <c r="A709" s="25"/>
      <c r="B709" s="25"/>
      <c r="C709" s="25"/>
      <c r="D709" s="25"/>
      <c r="E709" s="24"/>
    </row>
    <row r="710" spans="1:5">
      <c r="A710" s="25"/>
      <c r="B710" s="25"/>
      <c r="C710" s="25"/>
      <c r="D710" s="25"/>
      <c r="E710" s="24"/>
    </row>
    <row r="711" spans="1:5">
      <c r="A711" s="25"/>
      <c r="B711" s="25"/>
      <c r="C711" s="25"/>
      <c r="D711" s="25"/>
      <c r="E711" s="24"/>
    </row>
    <row r="712" spans="1:5">
      <c r="A712" s="25"/>
      <c r="B712" s="25"/>
      <c r="C712" s="25"/>
      <c r="D712" s="25"/>
      <c r="E712" s="24"/>
    </row>
    <row r="713" spans="1:5">
      <c r="A713" s="25"/>
      <c r="B713" s="25"/>
      <c r="C713" s="25"/>
      <c r="D713" s="25"/>
      <c r="E713" s="24"/>
    </row>
    <row r="714" spans="1:5">
      <c r="A714" s="25">
        <v>42</v>
      </c>
      <c r="B714" s="25">
        <v>100.5</v>
      </c>
      <c r="C714" s="25"/>
      <c r="D714" s="25"/>
      <c r="E714" s="24"/>
    </row>
    <row r="715" spans="1:5">
      <c r="A715" s="25">
        <v>103</v>
      </c>
      <c r="B715" s="25">
        <v>5.952</v>
      </c>
      <c r="C715" s="25"/>
      <c r="D715" s="25"/>
      <c r="E715" s="24"/>
    </row>
    <row r="716" spans="1:5">
      <c r="A716" s="25"/>
      <c r="B716" s="25">
        <f>100000*B715/((((A715/2)^2)*3.1415926)*B714)</f>
        <v>0.71077564384092584</v>
      </c>
      <c r="C716" s="25"/>
      <c r="D716" s="25"/>
      <c r="E716" s="24"/>
    </row>
    <row r="717" spans="1:5">
      <c r="A717" s="25"/>
      <c r="B717" s="25"/>
      <c r="C717" s="25"/>
      <c r="D717" s="25"/>
      <c r="E717" s="24"/>
    </row>
    <row r="718" spans="1:5">
      <c r="A718" s="25"/>
      <c r="B718" s="25"/>
      <c r="C718" s="25"/>
      <c r="D718" s="25"/>
      <c r="E718" s="24"/>
    </row>
    <row r="719" spans="1:5">
      <c r="A719" s="25"/>
      <c r="B719" s="25"/>
      <c r="C719" s="25"/>
      <c r="D719" s="25"/>
      <c r="E719" s="24"/>
    </row>
    <row r="720" spans="1:5">
      <c r="A720" s="25"/>
      <c r="B720" s="25"/>
      <c r="C720" s="25"/>
      <c r="D720" s="25"/>
      <c r="E720" s="24"/>
    </row>
    <row r="721" spans="1:5">
      <c r="A721" s="25"/>
      <c r="B721" s="25"/>
      <c r="C721" s="25"/>
      <c r="D721" s="25"/>
      <c r="E721" s="24"/>
    </row>
    <row r="722" spans="1:5">
      <c r="A722" s="25"/>
      <c r="B722" s="25"/>
      <c r="C722" s="25"/>
      <c r="D722" s="25"/>
      <c r="E722" s="24"/>
    </row>
    <row r="723" spans="1:5">
      <c r="A723" s="25"/>
      <c r="B723" s="25"/>
      <c r="C723" s="25"/>
      <c r="D723" s="25"/>
      <c r="E723" s="24"/>
    </row>
    <row r="724" spans="1:5">
      <c r="A724" s="25"/>
      <c r="B724" s="25"/>
      <c r="C724" s="25"/>
      <c r="D724" s="25"/>
      <c r="E724" s="24"/>
    </row>
    <row r="725" spans="1:5">
      <c r="A725" s="25"/>
      <c r="B725" s="25"/>
      <c r="C725" s="25"/>
      <c r="D725" s="25"/>
      <c r="E725" s="24"/>
    </row>
    <row r="726" spans="1:5">
      <c r="A726" s="25"/>
      <c r="B726" s="25"/>
      <c r="C726" s="25"/>
      <c r="D726" s="25"/>
      <c r="E726" s="24"/>
    </row>
    <row r="727" spans="1:5">
      <c r="A727" s="25">
        <v>43</v>
      </c>
      <c r="B727" s="25">
        <v>99.5</v>
      </c>
      <c r="C727" s="25"/>
      <c r="D727" s="25"/>
      <c r="E727" s="24"/>
    </row>
    <row r="728" spans="1:5">
      <c r="A728" s="25">
        <v>102.95</v>
      </c>
      <c r="B728" s="25">
        <v>5.97</v>
      </c>
      <c r="C728" s="25"/>
      <c r="D728" s="25"/>
      <c r="E728" s="24"/>
    </row>
    <row r="729" spans="1:5">
      <c r="A729" s="25"/>
      <c r="B729" s="25">
        <f>100000*B728/((((A728/2)^2)*3.1415926)*B727)</f>
        <v>0.72078987014926865</v>
      </c>
      <c r="C729" s="25"/>
      <c r="D729" s="25"/>
      <c r="E729" s="24"/>
    </row>
    <row r="730" spans="1:5">
      <c r="A730" s="25"/>
      <c r="B730" s="25"/>
      <c r="C730" s="25"/>
      <c r="D730" s="25"/>
      <c r="E730" s="24"/>
    </row>
    <row r="731" spans="1:5">
      <c r="A731" s="25"/>
      <c r="B731" s="25"/>
      <c r="C731" s="25"/>
      <c r="D731" s="25"/>
      <c r="E731" s="24"/>
    </row>
    <row r="732" spans="1:5">
      <c r="A732" s="25"/>
      <c r="B732" s="25"/>
      <c r="C732" s="25"/>
      <c r="D732" s="25"/>
      <c r="E732" s="24"/>
    </row>
    <row r="733" spans="1:5">
      <c r="A733" s="25"/>
      <c r="B733" s="25"/>
      <c r="C733" s="25"/>
      <c r="D733" s="25"/>
      <c r="E733" s="24"/>
    </row>
    <row r="734" spans="1:5">
      <c r="A734" s="25"/>
      <c r="B734" s="25"/>
      <c r="C734" s="25"/>
      <c r="D734" s="25"/>
      <c r="E734" s="24"/>
    </row>
    <row r="735" spans="1:5">
      <c r="A735" s="25"/>
      <c r="B735" s="25"/>
      <c r="C735" s="25"/>
      <c r="D735" s="25"/>
      <c r="E735" s="24"/>
    </row>
    <row r="736" spans="1:5">
      <c r="A736" s="25"/>
      <c r="B736" s="25"/>
      <c r="C736" s="25"/>
      <c r="D736" s="25"/>
      <c r="E736" s="24"/>
    </row>
    <row r="737" spans="1:5">
      <c r="A737" s="25"/>
      <c r="B737" s="25"/>
      <c r="C737" s="25"/>
      <c r="D737" s="25"/>
      <c r="E737" s="24"/>
    </row>
    <row r="738" spans="1:5">
      <c r="A738" s="25"/>
      <c r="B738" s="25"/>
      <c r="C738" s="25"/>
      <c r="D738" s="25"/>
      <c r="E738" s="24"/>
    </row>
    <row r="739" spans="1:5">
      <c r="A739" s="25"/>
      <c r="B739" s="25"/>
      <c r="C739" s="25"/>
      <c r="D739" s="25"/>
      <c r="E739" s="24"/>
    </row>
    <row r="740" spans="1:5">
      <c r="A740" s="25"/>
      <c r="B740" s="25"/>
      <c r="C740" s="25"/>
      <c r="D740" s="25"/>
      <c r="E740" s="24"/>
    </row>
    <row r="741" spans="1:5">
      <c r="A741" s="25"/>
      <c r="B741" s="25"/>
      <c r="C741" s="25"/>
      <c r="D741" s="25"/>
      <c r="E741" s="24"/>
    </row>
    <row r="742" spans="1:5">
      <c r="A742" s="25"/>
      <c r="B742" s="25"/>
      <c r="C742" s="25"/>
      <c r="D742" s="25"/>
      <c r="E742" s="24"/>
    </row>
    <row r="743" spans="1:5">
      <c r="A743" s="25">
        <v>44</v>
      </c>
      <c r="B743" s="25">
        <v>101</v>
      </c>
      <c r="C743" s="25"/>
      <c r="D743" s="25"/>
      <c r="E743" s="24"/>
    </row>
    <row r="744" spans="1:5">
      <c r="A744" s="25">
        <v>102.87</v>
      </c>
      <c r="B744" s="25">
        <v>6.0869999999999997</v>
      </c>
      <c r="C744" s="25"/>
      <c r="D744" s="25"/>
      <c r="E744" s="24"/>
    </row>
    <row r="745" spans="1:5">
      <c r="A745" s="25"/>
      <c r="B745" s="25">
        <f>100000*B744/((((A744/2)^2)*3.1415926)*B743)</f>
        <v>0.72512783153123173</v>
      </c>
      <c r="C745" s="25"/>
      <c r="D745" s="25"/>
      <c r="E745" s="24"/>
    </row>
    <row r="746" spans="1:5">
      <c r="A746" s="25"/>
      <c r="B746" s="25"/>
      <c r="C746" s="25"/>
      <c r="D746" s="25"/>
      <c r="E746" s="24"/>
    </row>
    <row r="747" spans="1:5">
      <c r="A747" s="25"/>
      <c r="B747" s="25"/>
      <c r="C747" s="25"/>
      <c r="D747" s="25"/>
      <c r="E747" s="24"/>
    </row>
    <row r="748" spans="1:5">
      <c r="A748" s="25"/>
      <c r="B748" s="25"/>
      <c r="C748" s="25"/>
      <c r="D748" s="25"/>
      <c r="E748" s="24"/>
    </row>
    <row r="749" spans="1:5">
      <c r="A749" s="25"/>
      <c r="B749" s="25"/>
      <c r="C749" s="25"/>
      <c r="D749" s="25"/>
      <c r="E749" s="24"/>
    </row>
    <row r="750" spans="1:5">
      <c r="A750" s="25"/>
      <c r="B750" s="25"/>
      <c r="C750" s="25"/>
      <c r="D750" s="25"/>
      <c r="E750" s="24"/>
    </row>
    <row r="751" spans="1:5">
      <c r="A751" s="25"/>
      <c r="B751" s="25"/>
      <c r="C751" s="25"/>
      <c r="D751" s="25"/>
      <c r="E751" s="24"/>
    </row>
    <row r="752" spans="1:5">
      <c r="A752" s="25"/>
      <c r="B752" s="25"/>
      <c r="C752" s="25"/>
      <c r="D752" s="25"/>
      <c r="E752" s="24"/>
    </row>
    <row r="753" spans="1:5">
      <c r="A753" s="25"/>
      <c r="B753" s="25"/>
      <c r="C753" s="25"/>
      <c r="D753" s="25"/>
      <c r="E753" s="24"/>
    </row>
    <row r="754" spans="1:5">
      <c r="A754" s="25"/>
      <c r="B754" s="25"/>
      <c r="C754" s="25"/>
      <c r="D754" s="25"/>
      <c r="E754" s="24"/>
    </row>
    <row r="755" spans="1:5">
      <c r="A755" s="25"/>
      <c r="B755" s="25"/>
      <c r="C755" s="25"/>
      <c r="D755" s="25"/>
      <c r="E755" s="24"/>
    </row>
    <row r="756" spans="1:5">
      <c r="A756" s="25"/>
      <c r="B756" s="25"/>
      <c r="C756" s="25"/>
      <c r="D756" s="25"/>
      <c r="E756" s="24"/>
    </row>
    <row r="757" spans="1:5">
      <c r="A757" s="25"/>
      <c r="B757" s="25"/>
      <c r="C757" s="25"/>
      <c r="D757" s="25"/>
      <c r="E757" s="24"/>
    </row>
    <row r="758" spans="1:5">
      <c r="A758" s="25"/>
      <c r="B758" s="25"/>
      <c r="C758" s="25"/>
      <c r="D758" s="25"/>
      <c r="E758" s="24"/>
    </row>
    <row r="759" spans="1:5">
      <c r="A759" s="25"/>
      <c r="B759" s="25"/>
      <c r="C759" s="25"/>
      <c r="D759" s="25"/>
      <c r="E759" s="24"/>
    </row>
    <row r="760" spans="1:5">
      <c r="A760" s="25"/>
      <c r="B760" s="25"/>
      <c r="C760" s="25"/>
      <c r="D760" s="25"/>
      <c r="E760" s="24"/>
    </row>
    <row r="761" spans="1:5">
      <c r="A761" s="25"/>
      <c r="B761" s="25"/>
      <c r="C761" s="25"/>
      <c r="D761" s="25"/>
      <c r="E761" s="24"/>
    </row>
    <row r="762" spans="1:5">
      <c r="A762" s="25"/>
      <c r="B762" s="25"/>
      <c r="C762" s="25"/>
      <c r="D762" s="25"/>
      <c r="E762" s="24"/>
    </row>
    <row r="763" spans="1:5">
      <c r="A763" s="25"/>
      <c r="B763" s="25"/>
      <c r="C763" s="25"/>
      <c r="D763" s="25"/>
      <c r="E763" s="24"/>
    </row>
    <row r="764" spans="1:5">
      <c r="A764" s="25"/>
      <c r="B764" s="25"/>
      <c r="C764" s="25"/>
      <c r="D764" s="25"/>
      <c r="E764" s="24"/>
    </row>
    <row r="765" spans="1:5">
      <c r="A765" s="25"/>
      <c r="B765" s="25"/>
      <c r="C765" s="25"/>
      <c r="D765" s="25"/>
      <c r="E765" s="24"/>
    </row>
    <row r="766" spans="1:5">
      <c r="A766" s="25"/>
      <c r="B766" s="25"/>
      <c r="C766" s="25"/>
      <c r="D766" s="25"/>
      <c r="E766" s="24"/>
    </row>
    <row r="767" spans="1:5">
      <c r="A767" s="25"/>
      <c r="B767" s="25"/>
      <c r="C767" s="25"/>
      <c r="D767" s="25"/>
      <c r="E767" s="24"/>
    </row>
    <row r="768" spans="1:5">
      <c r="A768" s="25"/>
      <c r="B768" s="25"/>
      <c r="C768" s="25"/>
      <c r="D768" s="25"/>
      <c r="E768" s="24"/>
    </row>
    <row r="769" spans="1:5">
      <c r="A769" s="25">
        <v>45</v>
      </c>
      <c r="B769" s="25">
        <v>100</v>
      </c>
      <c r="C769" s="25"/>
      <c r="D769" s="25"/>
      <c r="E769" s="24"/>
    </row>
    <row r="770" spans="1:5">
      <c r="A770" s="25">
        <v>102.85</v>
      </c>
      <c r="B770" s="25">
        <v>5.9960000000000004</v>
      </c>
      <c r="C770" s="25"/>
      <c r="D770" s="25"/>
      <c r="E770" s="24"/>
    </row>
    <row r="771" spans="1:5">
      <c r="A771" s="25"/>
      <c r="B771" s="25">
        <f>100000*B770/((((A770/2)^2)*3.1415926)*B769)</f>
        <v>0.72171072328382591</v>
      </c>
      <c r="C771" s="25"/>
      <c r="D771" s="25"/>
      <c r="E771" s="24"/>
    </row>
    <row r="772" spans="1:5">
      <c r="A772" s="25"/>
      <c r="B772" s="25"/>
      <c r="C772" s="25"/>
      <c r="D772" s="25"/>
      <c r="E772" s="24"/>
    </row>
    <row r="773" spans="1:5">
      <c r="A773" s="25"/>
      <c r="B773" s="25"/>
      <c r="C773" s="25"/>
      <c r="D773" s="25"/>
      <c r="E773" s="24"/>
    </row>
    <row r="774" spans="1:5">
      <c r="A774" s="25"/>
      <c r="B774" s="25"/>
      <c r="C774" s="25"/>
      <c r="D774" s="25"/>
      <c r="E774" s="24"/>
    </row>
    <row r="775" spans="1:5">
      <c r="A775" s="25"/>
      <c r="B775" s="25"/>
      <c r="C775" s="25"/>
      <c r="D775" s="25"/>
      <c r="E775" s="24"/>
    </row>
    <row r="776" spans="1:5">
      <c r="A776" s="25"/>
      <c r="B776" s="25"/>
      <c r="C776" s="25"/>
      <c r="D776" s="25"/>
      <c r="E776" s="24"/>
    </row>
    <row r="777" spans="1:5">
      <c r="A777" s="25"/>
      <c r="B777" s="25"/>
      <c r="C777" s="25"/>
      <c r="D777" s="25"/>
      <c r="E777" s="24"/>
    </row>
    <row r="778" spans="1:5">
      <c r="A778" s="25"/>
      <c r="B778" s="25"/>
      <c r="C778" s="25"/>
      <c r="D778" s="25"/>
      <c r="E778" s="24"/>
    </row>
    <row r="779" spans="1:5">
      <c r="A779" s="25"/>
      <c r="B779" s="25"/>
      <c r="C779" s="25"/>
      <c r="D779" s="25"/>
      <c r="E779" s="24"/>
    </row>
    <row r="780" spans="1:5">
      <c r="A780" s="25"/>
      <c r="B780" s="25"/>
      <c r="C780" s="25"/>
      <c r="D780" s="25"/>
      <c r="E780" s="24"/>
    </row>
    <row r="781" spans="1:5">
      <c r="A781" s="25"/>
      <c r="B781" s="25"/>
      <c r="C781" s="25"/>
      <c r="D781" s="25"/>
      <c r="E781" s="24"/>
    </row>
    <row r="782" spans="1:5">
      <c r="A782" s="25"/>
      <c r="B782" s="25"/>
      <c r="C782" s="25"/>
      <c r="D782" s="25"/>
      <c r="E782" s="24"/>
    </row>
    <row r="783" spans="1:5">
      <c r="A783" s="25"/>
      <c r="B783" s="25"/>
      <c r="C783" s="25"/>
      <c r="D783" s="25"/>
      <c r="E783" s="24"/>
    </row>
    <row r="784" spans="1:5">
      <c r="A784" s="25"/>
      <c r="B784" s="25"/>
      <c r="C784" s="25"/>
      <c r="D784" s="25"/>
      <c r="E784" s="24"/>
    </row>
    <row r="785" spans="1:5">
      <c r="A785" s="25">
        <v>46</v>
      </c>
      <c r="B785" s="25">
        <v>101</v>
      </c>
      <c r="C785" s="25"/>
      <c r="D785" s="25"/>
      <c r="E785" s="24"/>
    </row>
    <row r="786" spans="1:5">
      <c r="A786" s="25">
        <v>103.04</v>
      </c>
      <c r="B786" s="25">
        <v>6.032</v>
      </c>
      <c r="C786" s="25"/>
      <c r="D786" s="25"/>
      <c r="E786" s="24"/>
    </row>
    <row r="787" spans="1:5">
      <c r="A787" s="25"/>
      <c r="B787" s="25">
        <f>100000*B786/((((A786/2)^2)*3.1415926)*B785)</f>
        <v>0.71620670929919861</v>
      </c>
      <c r="C787" s="25"/>
      <c r="D787" s="25"/>
      <c r="E787" s="24"/>
    </row>
    <row r="788" spans="1:5">
      <c r="A788" s="25"/>
      <c r="B788" s="25"/>
      <c r="C788" s="25"/>
      <c r="D788" s="25"/>
      <c r="E788" s="24"/>
    </row>
    <row r="789" spans="1:5">
      <c r="A789" s="25"/>
      <c r="B789" s="25"/>
      <c r="C789" s="25"/>
      <c r="D789" s="25"/>
      <c r="E789" s="24"/>
    </row>
    <row r="790" spans="1:5">
      <c r="A790" s="25"/>
      <c r="B790" s="25"/>
      <c r="C790" s="25"/>
      <c r="D790" s="25"/>
      <c r="E790" s="24"/>
    </row>
    <row r="791" spans="1:5">
      <c r="A791" s="25"/>
      <c r="B791" s="25"/>
      <c r="C791" s="25"/>
      <c r="D791" s="25"/>
      <c r="E791" s="24"/>
    </row>
    <row r="792" spans="1:5">
      <c r="A792" s="25"/>
      <c r="B792" s="25"/>
      <c r="C792" s="25"/>
      <c r="D792" s="25"/>
      <c r="E792" s="24"/>
    </row>
    <row r="793" spans="1:5">
      <c r="A793" s="25"/>
      <c r="B793" s="25"/>
      <c r="C793" s="25"/>
      <c r="D793" s="25"/>
      <c r="E793" s="24"/>
    </row>
    <row r="794" spans="1:5">
      <c r="A794" s="25"/>
      <c r="B794" s="25"/>
      <c r="C794" s="25"/>
      <c r="D794" s="25"/>
      <c r="E794" s="24"/>
    </row>
    <row r="795" spans="1:5">
      <c r="A795" s="25"/>
      <c r="B795" s="25"/>
      <c r="C795" s="25"/>
      <c r="D795" s="25"/>
      <c r="E795" s="24"/>
    </row>
    <row r="796" spans="1:5">
      <c r="A796" s="25"/>
      <c r="B796" s="25"/>
      <c r="C796" s="25"/>
      <c r="D796" s="25"/>
      <c r="E796" s="24"/>
    </row>
    <row r="797" spans="1:5">
      <c r="A797" s="25"/>
      <c r="B797" s="25"/>
      <c r="C797" s="25"/>
      <c r="D797" s="25"/>
      <c r="E797" s="24"/>
    </row>
    <row r="798" spans="1:5">
      <c r="A798" s="25"/>
      <c r="B798" s="25"/>
      <c r="C798" s="25"/>
      <c r="D798" s="25"/>
      <c r="E798" s="24"/>
    </row>
    <row r="799" spans="1:5">
      <c r="A799" s="25"/>
      <c r="B799" s="25"/>
      <c r="C799" s="25"/>
      <c r="D799" s="25"/>
      <c r="E799" s="24"/>
    </row>
    <row r="800" spans="1:5">
      <c r="A800" s="25"/>
      <c r="B800" s="25"/>
      <c r="C800" s="25"/>
      <c r="D800" s="25"/>
      <c r="E800" s="24"/>
    </row>
    <row r="801" spans="1:5">
      <c r="A801" s="25"/>
      <c r="B801" s="25"/>
      <c r="C801" s="25"/>
      <c r="D801" s="25"/>
      <c r="E801" s="24"/>
    </row>
    <row r="802" spans="1:5">
      <c r="A802" s="25"/>
      <c r="B802" s="25"/>
      <c r="C802" s="25"/>
      <c r="D802" s="25"/>
      <c r="E802" s="24"/>
    </row>
    <row r="803" spans="1:5">
      <c r="A803" s="25"/>
      <c r="B803" s="25"/>
      <c r="C803" s="25"/>
      <c r="D803" s="25"/>
      <c r="E803" s="24"/>
    </row>
    <row r="804" spans="1:5">
      <c r="A804" s="25"/>
      <c r="B804" s="25"/>
      <c r="C804" s="25"/>
      <c r="D804" s="25"/>
      <c r="E804" s="24"/>
    </row>
    <row r="805" spans="1:5">
      <c r="A805" s="25"/>
      <c r="B805" s="25"/>
      <c r="C805" s="25"/>
      <c r="D805" s="25"/>
      <c r="E805" s="24"/>
    </row>
    <row r="806" spans="1:5">
      <c r="A806" s="25"/>
      <c r="B806" s="25"/>
      <c r="C806" s="25"/>
      <c r="D806" s="25"/>
      <c r="E806" s="24"/>
    </row>
    <row r="807" spans="1:5">
      <c r="A807" s="25"/>
      <c r="B807" s="25"/>
      <c r="C807" s="25"/>
      <c r="D807" s="25"/>
      <c r="E807" s="24"/>
    </row>
    <row r="808" spans="1:5">
      <c r="A808" s="25"/>
      <c r="B808" s="25"/>
      <c r="C808" s="25"/>
      <c r="D808" s="25"/>
      <c r="E808" s="24"/>
    </row>
    <row r="809" spans="1:5">
      <c r="A809" s="25"/>
      <c r="B809" s="25"/>
      <c r="C809" s="25"/>
      <c r="D809" s="25"/>
      <c r="E809" s="24"/>
    </row>
    <row r="810" spans="1:5">
      <c r="A810" s="25"/>
      <c r="B810" s="25"/>
      <c r="C810" s="25"/>
      <c r="D810" s="25"/>
      <c r="E810" s="24"/>
    </row>
    <row r="811" spans="1:5">
      <c r="A811" s="25"/>
      <c r="B811" s="25"/>
      <c r="C811" s="25"/>
      <c r="D811" s="25"/>
      <c r="E811" s="24"/>
    </row>
    <row r="812" spans="1:5">
      <c r="A812" s="25">
        <v>47</v>
      </c>
      <c r="B812" s="25">
        <v>100.5</v>
      </c>
      <c r="C812" s="25"/>
      <c r="D812" s="25"/>
      <c r="E812" s="24"/>
    </row>
    <row r="813" spans="1:5">
      <c r="A813" s="25">
        <v>103.15</v>
      </c>
      <c r="B813" s="25">
        <v>6.1189999999999998</v>
      </c>
      <c r="C813" s="25"/>
      <c r="D813" s="25"/>
      <c r="E813" s="24"/>
    </row>
    <row r="814" spans="1:5">
      <c r="A814" s="25"/>
      <c r="B814" s="25">
        <f>100000*B813/((((A813/2)^2)*3.1415926)*B812)</f>
        <v>0.72859477570412801</v>
      </c>
      <c r="C814" s="25"/>
      <c r="D814" s="25"/>
      <c r="E814" s="24"/>
    </row>
    <row r="815" spans="1:5">
      <c r="A815" s="25"/>
      <c r="B815" s="25"/>
      <c r="C815" s="25"/>
      <c r="D815" s="25"/>
      <c r="E815" s="24"/>
    </row>
    <row r="816" spans="1:5">
      <c r="A816" s="25"/>
      <c r="B816" s="25"/>
      <c r="C816" s="25"/>
      <c r="D816" s="25"/>
      <c r="E816" s="24"/>
    </row>
    <row r="817" spans="1:5">
      <c r="A817" s="25"/>
      <c r="B817" s="25"/>
      <c r="C817" s="25"/>
      <c r="D817" s="25"/>
      <c r="E817" s="24"/>
    </row>
    <row r="818" spans="1:5">
      <c r="A818" s="25"/>
      <c r="B818" s="25"/>
      <c r="C818" s="25"/>
      <c r="D818" s="25"/>
      <c r="E818" s="24"/>
    </row>
    <row r="819" spans="1:5">
      <c r="A819" s="25"/>
      <c r="B819" s="25"/>
      <c r="C819" s="25"/>
      <c r="D819" s="25"/>
      <c r="E819" s="24"/>
    </row>
    <row r="820" spans="1:5">
      <c r="A820" s="25"/>
      <c r="B820" s="25"/>
      <c r="C820" s="25"/>
      <c r="D820" s="25"/>
      <c r="E820" s="24"/>
    </row>
    <row r="821" spans="1:5">
      <c r="A821" s="25"/>
      <c r="B821" s="25"/>
      <c r="C821" s="25"/>
      <c r="D821" s="25"/>
      <c r="E821" s="24"/>
    </row>
    <row r="822" spans="1:5">
      <c r="A822" s="25"/>
      <c r="B822" s="25"/>
      <c r="C822" s="25"/>
      <c r="D822" s="25"/>
      <c r="E822" s="24"/>
    </row>
    <row r="823" spans="1:5">
      <c r="A823" s="25"/>
      <c r="B823" s="25"/>
      <c r="C823" s="25"/>
      <c r="D823" s="25"/>
      <c r="E823" s="24"/>
    </row>
    <row r="824" spans="1:5">
      <c r="A824" s="25"/>
      <c r="B824" s="25"/>
      <c r="C824" s="25"/>
      <c r="D824" s="25"/>
      <c r="E824" s="24"/>
    </row>
    <row r="825" spans="1:5">
      <c r="A825" s="25"/>
      <c r="B825" s="25"/>
      <c r="C825" s="25"/>
      <c r="D825" s="25"/>
      <c r="E825" s="24"/>
    </row>
    <row r="826" spans="1:5">
      <c r="A826" s="25"/>
      <c r="B826" s="25"/>
      <c r="C826" s="25"/>
      <c r="D826" s="25"/>
      <c r="E826" s="24"/>
    </row>
    <row r="827" spans="1:5">
      <c r="A827" s="25"/>
      <c r="B827" s="25"/>
      <c r="C827" s="25"/>
      <c r="D827" s="25"/>
      <c r="E827" s="24"/>
    </row>
    <row r="828" spans="1:5">
      <c r="A828" s="25"/>
      <c r="B828" s="25"/>
      <c r="C828" s="25"/>
      <c r="D828" s="25"/>
      <c r="E828" s="24"/>
    </row>
    <row r="829" spans="1:5">
      <c r="A829" s="25"/>
      <c r="B829" s="25"/>
      <c r="C829" s="25"/>
      <c r="D829" s="25"/>
      <c r="E829" s="24"/>
    </row>
    <row r="830" spans="1:5">
      <c r="A830" s="25"/>
      <c r="B830" s="25"/>
      <c r="C830" s="25"/>
      <c r="D830" s="25"/>
      <c r="E830" s="24"/>
    </row>
    <row r="831" spans="1:5">
      <c r="A831" s="25"/>
      <c r="B831" s="25"/>
      <c r="C831" s="25"/>
      <c r="D831" s="25"/>
      <c r="E831" s="24"/>
    </row>
    <row r="832" spans="1:5">
      <c r="A832" s="25"/>
      <c r="B832" s="25"/>
      <c r="C832" s="25"/>
      <c r="D832" s="25"/>
      <c r="E832" s="24"/>
    </row>
    <row r="833" spans="1:5">
      <c r="A833" s="25"/>
      <c r="B833" s="25"/>
      <c r="C833" s="25"/>
      <c r="D833" s="25"/>
      <c r="E833" s="24"/>
    </row>
    <row r="834" spans="1:5">
      <c r="A834" s="25"/>
      <c r="B834" s="25"/>
      <c r="C834" s="25"/>
      <c r="D834" s="25"/>
      <c r="E834" s="24"/>
    </row>
    <row r="835" spans="1:5">
      <c r="A835" s="25"/>
      <c r="B835" s="25"/>
      <c r="C835" s="25"/>
      <c r="D835" s="25"/>
      <c r="E835" s="24"/>
    </row>
    <row r="836" spans="1:5">
      <c r="A836" s="25"/>
      <c r="B836" s="25"/>
      <c r="C836" s="25"/>
      <c r="D836" s="25"/>
      <c r="E836" s="24"/>
    </row>
    <row r="837" spans="1:5">
      <c r="A837" s="25"/>
      <c r="B837" s="25"/>
      <c r="C837" s="25"/>
      <c r="D837" s="25"/>
      <c r="E837" s="24"/>
    </row>
    <row r="838" spans="1:5">
      <c r="A838" s="25"/>
      <c r="B838" s="25"/>
      <c r="C838" s="25"/>
      <c r="D838" s="25"/>
      <c r="E838" s="24"/>
    </row>
    <row r="839" spans="1:5">
      <c r="A839" s="25"/>
      <c r="B839" s="25"/>
      <c r="C839" s="25"/>
      <c r="D839" s="25"/>
      <c r="E839" s="24"/>
    </row>
    <row r="840" spans="1:5">
      <c r="A840" s="25"/>
      <c r="B840" s="25"/>
      <c r="C840" s="25"/>
      <c r="D840" s="25"/>
      <c r="E840" s="24"/>
    </row>
    <row r="841" spans="1:5">
      <c r="A841" s="25"/>
      <c r="B841" s="25"/>
      <c r="C841" s="25"/>
      <c r="D841" s="25"/>
      <c r="E841" s="24"/>
    </row>
    <row r="842" spans="1:5">
      <c r="A842" s="25"/>
      <c r="B842" s="25"/>
      <c r="C842" s="25"/>
      <c r="D842" s="25"/>
      <c r="E842" s="24"/>
    </row>
    <row r="843" spans="1:5">
      <c r="A843" s="25">
        <v>48</v>
      </c>
      <c r="B843" s="25">
        <v>102</v>
      </c>
      <c r="C843" s="25"/>
      <c r="D843" s="25"/>
      <c r="E843" s="24"/>
    </row>
    <row r="844" spans="1:5">
      <c r="A844" s="25">
        <v>103</v>
      </c>
      <c r="B844" s="25">
        <v>6.3</v>
      </c>
      <c r="C844" s="25"/>
      <c r="D844" s="25"/>
      <c r="E844" s="24"/>
    </row>
    <row r="845" spans="1:5">
      <c r="A845" s="25"/>
      <c r="B845" s="25">
        <f>100000*B844/((((A844/2)^2)*3.1415926)*B843)</f>
        <v>0.74126936883611738</v>
      </c>
      <c r="C845" s="25"/>
      <c r="D845" s="25"/>
      <c r="E845" s="24"/>
    </row>
    <row r="846" spans="1:5">
      <c r="A846" s="25"/>
      <c r="B846" s="25"/>
      <c r="C846" s="25"/>
      <c r="D846" s="25"/>
      <c r="E846" s="24"/>
    </row>
    <row r="847" spans="1:5">
      <c r="A847" s="25"/>
      <c r="B847" s="25"/>
      <c r="C847" s="25"/>
      <c r="D847" s="25"/>
      <c r="E847" s="24"/>
    </row>
    <row r="848" spans="1:5">
      <c r="A848" s="25"/>
      <c r="B848" s="25"/>
      <c r="C848" s="25"/>
      <c r="D848" s="25"/>
      <c r="E848" s="24"/>
    </row>
    <row r="849" spans="1:5">
      <c r="A849" s="25"/>
      <c r="B849" s="25"/>
      <c r="C849" s="25"/>
      <c r="D849" s="25"/>
      <c r="E849" s="24"/>
    </row>
    <row r="850" spans="1:5">
      <c r="A850" s="25"/>
      <c r="B850" s="25"/>
      <c r="C850" s="25"/>
      <c r="D850" s="25"/>
      <c r="E850" s="24"/>
    </row>
    <row r="851" spans="1:5">
      <c r="A851" s="25"/>
      <c r="B851" s="25"/>
      <c r="C851" s="25"/>
      <c r="D851" s="25"/>
      <c r="E851" s="24"/>
    </row>
    <row r="852" spans="1:5">
      <c r="A852" s="25"/>
      <c r="B852" s="25"/>
      <c r="C852" s="25"/>
      <c r="D852" s="25"/>
      <c r="E852" s="24"/>
    </row>
    <row r="853" spans="1:5">
      <c r="A853" s="25"/>
      <c r="B853" s="25"/>
      <c r="C853" s="25"/>
      <c r="D853" s="25"/>
      <c r="E853" s="24"/>
    </row>
    <row r="854" spans="1:5">
      <c r="A854" s="25"/>
      <c r="B854" s="25"/>
      <c r="C854" s="25"/>
      <c r="D854" s="25"/>
      <c r="E854" s="24"/>
    </row>
    <row r="855" spans="1:5">
      <c r="A855" s="25"/>
      <c r="B855" s="25"/>
      <c r="C855" s="25"/>
      <c r="D855" s="25"/>
      <c r="E855" s="24"/>
    </row>
    <row r="856" spans="1:5">
      <c r="A856" s="25"/>
      <c r="B856" s="25"/>
      <c r="C856" s="25"/>
      <c r="D856" s="25"/>
      <c r="E856" s="24"/>
    </row>
    <row r="857" spans="1:5">
      <c r="A857" s="25"/>
      <c r="B857" s="25"/>
      <c r="C857" s="25"/>
      <c r="D857" s="25"/>
      <c r="E857" s="24"/>
    </row>
    <row r="858" spans="1:5">
      <c r="A858" s="25"/>
      <c r="B858" s="25"/>
      <c r="C858" s="25"/>
      <c r="D858" s="25"/>
      <c r="E858" s="24"/>
    </row>
    <row r="859" spans="1:5">
      <c r="A859" s="25"/>
      <c r="B859" s="25"/>
      <c r="C859" s="25"/>
      <c r="D859" s="25"/>
      <c r="E859" s="24"/>
    </row>
    <row r="860" spans="1:5">
      <c r="A860" s="25"/>
      <c r="B860" s="25"/>
      <c r="C860" s="25"/>
      <c r="D860" s="25"/>
      <c r="E860" s="24"/>
    </row>
    <row r="861" spans="1:5">
      <c r="A861" s="25"/>
      <c r="B861" s="25"/>
      <c r="C861" s="25"/>
      <c r="D861" s="25"/>
      <c r="E861" s="24"/>
    </row>
    <row r="862" spans="1:5">
      <c r="A862" s="25"/>
      <c r="B862" s="25"/>
      <c r="C862" s="25"/>
      <c r="D862" s="25"/>
      <c r="E862" s="24"/>
    </row>
    <row r="863" spans="1:5">
      <c r="A863" s="25"/>
      <c r="B863" s="25"/>
      <c r="C863" s="25"/>
      <c r="D863" s="25"/>
      <c r="E863" s="24"/>
    </row>
    <row r="864" spans="1:5">
      <c r="A864" s="25"/>
      <c r="B864" s="25"/>
      <c r="C864" s="25"/>
      <c r="D864" s="25"/>
      <c r="E864" s="24"/>
    </row>
    <row r="865" spans="1:5">
      <c r="A865" s="25"/>
      <c r="B865" s="25"/>
      <c r="C865" s="25"/>
      <c r="D865" s="25"/>
      <c r="E865" s="24"/>
    </row>
    <row r="866" spans="1:5">
      <c r="A866" s="25"/>
      <c r="B866" s="25"/>
      <c r="C866" s="25"/>
      <c r="D866" s="25"/>
      <c r="E866" s="24"/>
    </row>
    <row r="867" spans="1:5">
      <c r="A867" s="25"/>
      <c r="B867" s="25"/>
      <c r="C867" s="25"/>
      <c r="D867" s="25"/>
      <c r="E867" s="24"/>
    </row>
    <row r="868" spans="1:5">
      <c r="A868" s="25"/>
      <c r="B868" s="25"/>
      <c r="C868" s="25"/>
      <c r="D868" s="25"/>
      <c r="E868" s="24"/>
    </row>
    <row r="869" spans="1:5">
      <c r="A869" s="25">
        <v>49</v>
      </c>
      <c r="B869" s="25">
        <v>101.5</v>
      </c>
      <c r="C869" s="25"/>
      <c r="D869" s="25"/>
      <c r="E869" s="24"/>
    </row>
    <row r="870" spans="1:5">
      <c r="A870" s="25">
        <v>103.25</v>
      </c>
      <c r="B870" s="25">
        <v>6.2750000000000004</v>
      </c>
      <c r="C870" s="25"/>
      <c r="D870" s="25"/>
      <c r="E870" s="24"/>
    </row>
    <row r="871" spans="1:5">
      <c r="A871" s="25"/>
      <c r="B871" s="25">
        <f>100000*B870/((((A870/2)^2)*3.1415926)*B869)</f>
        <v>0.73837620614196653</v>
      </c>
      <c r="C871" s="25"/>
      <c r="D871" s="25"/>
      <c r="E871" s="24"/>
    </row>
    <row r="872" spans="1:5">
      <c r="A872" s="25"/>
      <c r="B872" s="25"/>
      <c r="C872" s="25"/>
      <c r="D872" s="25"/>
      <c r="E872" s="24"/>
    </row>
    <row r="873" spans="1:5">
      <c r="A873" s="25"/>
      <c r="B873" s="25"/>
      <c r="C873" s="25"/>
      <c r="D873" s="25"/>
      <c r="E873" s="24"/>
    </row>
    <row r="874" spans="1:5">
      <c r="A874" s="25"/>
      <c r="B874" s="25"/>
      <c r="C874" s="25"/>
      <c r="D874" s="25"/>
      <c r="E874" s="24"/>
    </row>
    <row r="875" spans="1:5">
      <c r="A875" s="25"/>
      <c r="B875" s="25"/>
      <c r="C875" s="25"/>
      <c r="D875" s="25"/>
      <c r="E875" s="24"/>
    </row>
    <row r="876" spans="1:5">
      <c r="A876" s="25"/>
      <c r="B876" s="25"/>
      <c r="C876" s="25"/>
      <c r="D876" s="25"/>
      <c r="E876" s="24"/>
    </row>
    <row r="877" spans="1:5">
      <c r="A877" s="25"/>
      <c r="B877" s="25"/>
      <c r="C877" s="25"/>
      <c r="D877" s="25"/>
      <c r="E877" s="24"/>
    </row>
    <row r="878" spans="1:5">
      <c r="A878" s="25"/>
      <c r="B878" s="25"/>
      <c r="C878" s="25"/>
      <c r="D878" s="25"/>
      <c r="E878" s="24"/>
    </row>
    <row r="879" spans="1:5">
      <c r="A879" s="25"/>
      <c r="B879" s="25"/>
      <c r="C879" s="25"/>
      <c r="D879" s="25"/>
      <c r="E879" s="24"/>
    </row>
    <row r="880" spans="1:5">
      <c r="A880" s="25"/>
      <c r="B880" s="25"/>
      <c r="C880" s="25"/>
      <c r="D880" s="25"/>
      <c r="E880" s="24"/>
    </row>
    <row r="881" spans="1:5">
      <c r="A881" s="25"/>
      <c r="B881" s="25"/>
      <c r="C881" s="25"/>
      <c r="D881" s="25"/>
      <c r="E881" s="24"/>
    </row>
    <row r="882" spans="1:5">
      <c r="A882" s="25"/>
      <c r="B882" s="25"/>
      <c r="C882" s="25"/>
      <c r="D882" s="25"/>
      <c r="E882" s="24"/>
    </row>
    <row r="883" spans="1:5">
      <c r="A883" s="25"/>
      <c r="B883" s="25"/>
      <c r="C883" s="25"/>
      <c r="D883" s="25"/>
      <c r="E883" s="24"/>
    </row>
    <row r="884" spans="1:5">
      <c r="A884" s="25"/>
      <c r="B884" s="25"/>
      <c r="C884" s="25"/>
      <c r="D884" s="25"/>
      <c r="E884" s="24"/>
    </row>
    <row r="885" spans="1:5">
      <c r="A885" s="25"/>
      <c r="B885" s="25"/>
      <c r="C885" s="25"/>
      <c r="D885" s="25"/>
      <c r="E885" s="24"/>
    </row>
    <row r="886" spans="1:5">
      <c r="A886" s="25"/>
      <c r="B886" s="25"/>
      <c r="C886" s="25"/>
      <c r="D886" s="25"/>
      <c r="E886" s="24"/>
    </row>
    <row r="887" spans="1:5">
      <c r="A887" s="25"/>
      <c r="B887" s="25"/>
      <c r="C887" s="25"/>
      <c r="D887" s="25"/>
      <c r="E887" s="24"/>
    </row>
    <row r="888" spans="1:5">
      <c r="A888" s="25"/>
      <c r="B888" s="25"/>
      <c r="C888" s="25"/>
      <c r="D888" s="25"/>
      <c r="E888" s="24"/>
    </row>
    <row r="889" spans="1:5">
      <c r="A889" s="25"/>
      <c r="B889" s="25"/>
      <c r="C889" s="25"/>
      <c r="D889" s="25"/>
      <c r="E889" s="24"/>
    </row>
    <row r="890" spans="1:5">
      <c r="A890" s="25"/>
      <c r="B890" s="25"/>
      <c r="C890" s="25"/>
      <c r="D890" s="25"/>
      <c r="E890" s="24"/>
    </row>
    <row r="891" spans="1:5">
      <c r="A891" s="25"/>
      <c r="B891" s="25"/>
      <c r="C891" s="25"/>
      <c r="D891" s="25"/>
      <c r="E891" s="24"/>
    </row>
    <row r="892" spans="1:5">
      <c r="A892" s="25"/>
      <c r="B892" s="25"/>
      <c r="C892" s="25"/>
      <c r="D892" s="25"/>
      <c r="E892" s="24"/>
    </row>
    <row r="893" spans="1:5">
      <c r="A893" s="25"/>
      <c r="B893" s="25"/>
      <c r="C893" s="25"/>
      <c r="D893" s="25"/>
      <c r="E893" s="24"/>
    </row>
    <row r="894" spans="1:5">
      <c r="A894" s="25">
        <v>50</v>
      </c>
      <c r="B894" s="25">
        <v>101.5</v>
      </c>
      <c r="C894" s="25"/>
      <c r="D894" s="25"/>
      <c r="E894" s="24"/>
    </row>
    <row r="895" spans="1:5">
      <c r="A895" s="25">
        <v>102.94</v>
      </c>
      <c r="B895" s="25">
        <v>6.2709999999999999</v>
      </c>
      <c r="C895" s="25"/>
      <c r="D895" s="25"/>
      <c r="E895" s="24"/>
    </row>
    <row r="896" spans="1:5">
      <c r="A896" s="25"/>
      <c r="B896" s="25">
        <f>100000*B895/((((A895/2)^2)*3.1415926)*B894)</f>
        <v>0.74235657045374193</v>
      </c>
      <c r="C896" s="25"/>
      <c r="D896" s="25"/>
      <c r="E896" s="24"/>
    </row>
    <row r="897" spans="1:5">
      <c r="A897" s="25"/>
      <c r="B897" s="25"/>
      <c r="C897" s="25"/>
      <c r="D897" s="25"/>
      <c r="E897" s="24"/>
    </row>
    <row r="898" spans="1:5">
      <c r="A898" s="25"/>
      <c r="B898" s="25"/>
      <c r="C898" s="25"/>
      <c r="D898" s="25"/>
      <c r="E898" s="24"/>
    </row>
    <row r="899" spans="1:5">
      <c r="A899" s="25"/>
      <c r="B899" s="25"/>
      <c r="C899" s="25"/>
      <c r="D899" s="25"/>
      <c r="E899" s="24"/>
    </row>
    <row r="900" spans="1:5">
      <c r="A900" s="25"/>
      <c r="B900" s="25"/>
      <c r="C900" s="25"/>
      <c r="D900" s="25"/>
      <c r="E900" s="24"/>
    </row>
    <row r="901" spans="1:5">
      <c r="A901" s="25"/>
      <c r="B901" s="25"/>
      <c r="C901" s="25"/>
      <c r="D901" s="25"/>
      <c r="E901" s="24"/>
    </row>
    <row r="902" spans="1:5">
      <c r="A902" s="25"/>
      <c r="B902" s="25"/>
      <c r="C902" s="25"/>
      <c r="D902" s="25"/>
      <c r="E902" s="24"/>
    </row>
    <row r="903" spans="1:5">
      <c r="A903" s="25"/>
      <c r="B903" s="25"/>
      <c r="C903" s="25"/>
      <c r="D903" s="25"/>
      <c r="E903" s="24"/>
    </row>
    <row r="904" spans="1:5">
      <c r="A904" s="25"/>
      <c r="B904" s="25"/>
      <c r="C904" s="25"/>
      <c r="D904" s="25"/>
      <c r="E904" s="24"/>
    </row>
    <row r="905" spans="1:5">
      <c r="A905" s="25"/>
      <c r="B905" s="25"/>
      <c r="C905" s="25"/>
      <c r="D905" s="25"/>
      <c r="E905" s="24"/>
    </row>
    <row r="906" spans="1:5">
      <c r="A906" s="25"/>
      <c r="B906" s="25"/>
      <c r="C906" s="25"/>
      <c r="D906" s="25"/>
      <c r="E906" s="24"/>
    </row>
    <row r="907" spans="1:5">
      <c r="A907" s="25"/>
      <c r="B907" s="25"/>
      <c r="C907" s="25"/>
      <c r="D907" s="25"/>
      <c r="E907" s="24"/>
    </row>
    <row r="908" spans="1:5">
      <c r="A908" s="25"/>
      <c r="B908" s="25"/>
      <c r="C908" s="25"/>
      <c r="D908" s="25"/>
      <c r="E908" s="24"/>
    </row>
    <row r="909" spans="1:5">
      <c r="A909" s="25"/>
      <c r="B909" s="25"/>
      <c r="C909" s="25"/>
      <c r="D909" s="25"/>
      <c r="E909" s="24"/>
    </row>
    <row r="910" spans="1:5">
      <c r="A910" s="25"/>
      <c r="B910" s="25"/>
      <c r="C910" s="25"/>
      <c r="D910" s="25"/>
      <c r="E910" s="24"/>
    </row>
    <row r="911" spans="1:5">
      <c r="A911" s="25"/>
      <c r="B911" s="25"/>
      <c r="C911" s="25"/>
      <c r="D911" s="25"/>
      <c r="E911" s="24"/>
    </row>
    <row r="912" spans="1:5">
      <c r="A912" s="25"/>
      <c r="B912" s="25"/>
      <c r="C912" s="25"/>
      <c r="D912" s="25"/>
      <c r="E912" s="24"/>
    </row>
    <row r="913" spans="1:5">
      <c r="A913" s="25"/>
      <c r="B913" s="25"/>
      <c r="C913" s="25"/>
      <c r="D913" s="25"/>
      <c r="E913" s="24"/>
    </row>
    <row r="914" spans="1:5">
      <c r="A914" s="25"/>
      <c r="B914" s="25"/>
      <c r="C914" s="25"/>
      <c r="D914" s="25"/>
      <c r="E914" s="24"/>
    </row>
    <row r="915" spans="1:5">
      <c r="A915" s="25"/>
      <c r="B915" s="25"/>
      <c r="C915" s="25"/>
      <c r="D915" s="25"/>
      <c r="E915" s="24"/>
    </row>
    <row r="916" spans="1:5">
      <c r="A916" s="25">
        <v>51</v>
      </c>
      <c r="B916" s="25">
        <v>100.5</v>
      </c>
      <c r="C916" s="25"/>
      <c r="D916" s="25"/>
      <c r="E916" s="24"/>
    </row>
    <row r="917" spans="1:5">
      <c r="A917" s="25">
        <v>102.96</v>
      </c>
      <c r="B917" s="25" t="s">
        <v>275</v>
      </c>
      <c r="C917" s="25"/>
      <c r="D917" s="25"/>
      <c r="E917" s="24"/>
    </row>
    <row r="918" spans="1:5">
      <c r="A918" s="25"/>
      <c r="B918" s="25" t="s">
        <v>275</v>
      </c>
      <c r="C918" s="25"/>
      <c r="D918" s="25"/>
      <c r="E918" s="24"/>
    </row>
    <row r="919" spans="1:5">
      <c r="A919" s="25"/>
      <c r="B919" s="24" t="s">
        <v>274</v>
      </c>
      <c r="C919" s="25"/>
      <c r="D919" s="25"/>
      <c r="E919" s="24"/>
    </row>
    <row r="920" spans="1:5">
      <c r="A920" s="25"/>
      <c r="B920" s="25"/>
      <c r="C920" s="25"/>
      <c r="D920" s="25"/>
      <c r="E920" s="24"/>
    </row>
    <row r="921" spans="1:5">
      <c r="A921" s="25"/>
      <c r="B921" s="25"/>
      <c r="C921" s="25"/>
      <c r="D921" s="25"/>
      <c r="E921" s="24"/>
    </row>
    <row r="922" spans="1:5">
      <c r="A922" s="25"/>
      <c r="B922" s="25"/>
      <c r="C922" s="25"/>
      <c r="D922" s="25"/>
      <c r="E922" s="24"/>
    </row>
    <row r="923" spans="1:5">
      <c r="A923" s="25"/>
      <c r="B923" s="25"/>
      <c r="C923" s="25"/>
      <c r="D923" s="25"/>
      <c r="E923" s="24"/>
    </row>
    <row r="924" spans="1:5">
      <c r="A924" s="25"/>
      <c r="B924" s="25"/>
      <c r="C924" s="25"/>
      <c r="D924" s="25"/>
      <c r="E924" s="24"/>
    </row>
    <row r="925" spans="1:5">
      <c r="A925" s="25"/>
      <c r="B925" s="25"/>
      <c r="C925" s="25"/>
      <c r="D925" s="25"/>
      <c r="E925" s="24"/>
    </row>
    <row r="926" spans="1:5">
      <c r="A926" s="25"/>
      <c r="B926" s="25"/>
      <c r="C926" s="25"/>
      <c r="D926" s="25"/>
      <c r="E926" s="24"/>
    </row>
    <row r="927" spans="1:5">
      <c r="A927" s="25"/>
      <c r="B927" s="25"/>
      <c r="C927" s="25"/>
      <c r="D927" s="25"/>
      <c r="E927" s="24"/>
    </row>
    <row r="928" spans="1:5">
      <c r="A928" s="25"/>
      <c r="B928" s="25"/>
      <c r="C928" s="25"/>
      <c r="D928" s="25"/>
      <c r="E928" s="24"/>
    </row>
    <row r="929" spans="1:5">
      <c r="A929" s="25"/>
      <c r="B929" s="25"/>
      <c r="C929" s="25"/>
      <c r="D929" s="25"/>
      <c r="E929" s="24"/>
    </row>
    <row r="930" spans="1:5">
      <c r="A930" s="25"/>
      <c r="B930" s="25"/>
      <c r="C930" s="25"/>
      <c r="D930" s="25"/>
      <c r="E930" s="24"/>
    </row>
    <row r="931" spans="1:5">
      <c r="A931" s="25"/>
      <c r="B931" s="25"/>
      <c r="C931" s="25"/>
      <c r="D931" s="25"/>
      <c r="E931" s="24"/>
    </row>
    <row r="932" spans="1:5">
      <c r="A932" s="25"/>
      <c r="B932" s="25"/>
      <c r="C932" s="25"/>
      <c r="D932" s="25"/>
      <c r="E932" s="24"/>
    </row>
    <row r="933" spans="1:5">
      <c r="A933" s="25"/>
      <c r="B933" s="25"/>
      <c r="C933" s="25"/>
      <c r="D933" s="25"/>
      <c r="E933" s="24"/>
    </row>
    <row r="934" spans="1:5">
      <c r="A934" s="25">
        <v>52</v>
      </c>
      <c r="B934" s="25">
        <v>100</v>
      </c>
      <c r="C934" s="25"/>
      <c r="D934" s="25"/>
      <c r="E934" s="24"/>
    </row>
    <row r="935" spans="1:5">
      <c r="A935" s="25">
        <v>103.42</v>
      </c>
      <c r="B935" s="25">
        <v>6.4640000000000004</v>
      </c>
      <c r="C935" s="25"/>
      <c r="D935" s="25"/>
      <c r="E935" s="24"/>
    </row>
    <row r="936" spans="1:5">
      <c r="A936" s="25"/>
      <c r="B936" s="25">
        <f>100000*B935/((((A935/2)^2)*3.1415926)*B934)</f>
        <v>0.76948898414511069</v>
      </c>
      <c r="C936" s="25"/>
      <c r="D936" s="25"/>
      <c r="E936" s="24"/>
    </row>
    <row r="937" spans="1:5">
      <c r="A937" s="25"/>
      <c r="B937" s="25"/>
      <c r="C937" s="25"/>
      <c r="D937" s="25"/>
      <c r="E937" s="24"/>
    </row>
    <row r="938" spans="1:5">
      <c r="A938" s="25"/>
      <c r="B938" s="25"/>
      <c r="C938" s="25"/>
      <c r="D938" s="25"/>
      <c r="E938" s="24"/>
    </row>
    <row r="939" spans="1:5">
      <c r="A939" s="25"/>
      <c r="B939" s="25"/>
      <c r="C939" s="25"/>
      <c r="D939" s="25"/>
      <c r="E939" s="24"/>
    </row>
    <row r="940" spans="1:5">
      <c r="A940" s="25"/>
      <c r="B940" s="25"/>
      <c r="C940" s="25"/>
      <c r="D940" s="25"/>
      <c r="E940" s="24"/>
    </row>
    <row r="941" spans="1:5">
      <c r="A941" s="25"/>
      <c r="B941" s="25"/>
      <c r="C941" s="25"/>
      <c r="D941" s="25"/>
      <c r="E941" s="24"/>
    </row>
    <row r="942" spans="1:5">
      <c r="A942" s="25"/>
      <c r="B942" s="25"/>
      <c r="C942" s="25"/>
      <c r="D942" s="25"/>
      <c r="E942" s="24"/>
    </row>
    <row r="943" spans="1:5">
      <c r="A943" s="25"/>
      <c r="B943" s="25"/>
      <c r="C943" s="25"/>
      <c r="D943" s="25"/>
      <c r="E943" s="24"/>
    </row>
    <row r="944" spans="1:5">
      <c r="A944" s="25"/>
      <c r="B944" s="25"/>
      <c r="C944" s="25"/>
      <c r="D944" s="25"/>
      <c r="E944" s="24"/>
    </row>
    <row r="945" spans="1:5">
      <c r="A945" s="25"/>
      <c r="B945" s="25"/>
      <c r="C945" s="25"/>
      <c r="D945" s="25"/>
      <c r="E945" s="24"/>
    </row>
    <row r="946" spans="1:5">
      <c r="A946" s="25"/>
      <c r="B946" s="25"/>
      <c r="C946" s="25"/>
      <c r="D946" s="25"/>
      <c r="E946" s="24"/>
    </row>
    <row r="947" spans="1:5">
      <c r="A947" s="25"/>
      <c r="B947" s="25"/>
      <c r="C947" s="25"/>
      <c r="D947" s="25"/>
      <c r="E947" s="24"/>
    </row>
    <row r="948" spans="1:5">
      <c r="A948" s="25"/>
      <c r="B948" s="25"/>
      <c r="C948" s="25"/>
      <c r="D948" s="25"/>
      <c r="E948" s="24"/>
    </row>
    <row r="949" spans="1:5">
      <c r="A949" s="25"/>
      <c r="B949" s="25"/>
      <c r="C949" s="25"/>
      <c r="D949" s="25"/>
      <c r="E949" s="24"/>
    </row>
    <row r="950" spans="1:5">
      <c r="A950" s="25">
        <v>53</v>
      </c>
      <c r="B950" s="25">
        <v>101</v>
      </c>
      <c r="C950" s="25"/>
      <c r="D950" s="25"/>
      <c r="E950" s="24"/>
    </row>
    <row r="951" spans="1:5">
      <c r="A951" s="25">
        <v>103.69</v>
      </c>
      <c r="B951" s="25">
        <v>6.4669999999999996</v>
      </c>
      <c r="C951" s="25"/>
      <c r="D951" s="25"/>
      <c r="E951" s="24"/>
    </row>
    <row r="952" spans="1:5">
      <c r="A952" s="25"/>
      <c r="B952" s="25">
        <f>100000*B951/((((A951/2)^2)*3.1415926)*B950)</f>
        <v>0.75825950714607315</v>
      </c>
      <c r="C952" s="25"/>
      <c r="D952" s="25"/>
      <c r="E952" s="24"/>
    </row>
    <row r="953" spans="1:5">
      <c r="A953" s="25"/>
      <c r="B953" s="25"/>
      <c r="C953" s="25"/>
      <c r="D953" s="25"/>
      <c r="E953" s="24"/>
    </row>
    <row r="954" spans="1:5">
      <c r="A954" s="25"/>
      <c r="B954" s="25"/>
      <c r="C954" s="25"/>
      <c r="D954" s="25"/>
      <c r="E954" s="24"/>
    </row>
    <row r="955" spans="1:5">
      <c r="A955" s="25"/>
      <c r="B955" s="25"/>
      <c r="C955" s="25"/>
      <c r="D955" s="25"/>
      <c r="E955" s="24"/>
    </row>
    <row r="956" spans="1:5">
      <c r="A956" s="25"/>
      <c r="B956" s="25"/>
      <c r="C956" s="25"/>
      <c r="D956" s="25"/>
      <c r="E956" s="24"/>
    </row>
    <row r="957" spans="1:5">
      <c r="A957" s="25"/>
      <c r="B957" s="25"/>
      <c r="C957" s="25"/>
      <c r="D957" s="25"/>
      <c r="E957" s="24"/>
    </row>
    <row r="958" spans="1:5">
      <c r="A958" s="25"/>
      <c r="B958" s="25"/>
      <c r="C958" s="25"/>
      <c r="D958" s="25"/>
      <c r="E958" s="24"/>
    </row>
    <row r="959" spans="1:5">
      <c r="A959" s="25"/>
      <c r="B959" s="25"/>
      <c r="C959" s="25"/>
      <c r="D959" s="25"/>
      <c r="E959" s="24"/>
    </row>
    <row r="960" spans="1:5">
      <c r="A960" s="25"/>
      <c r="B960" s="25"/>
      <c r="C960" s="25"/>
      <c r="D960" s="25"/>
      <c r="E960" s="24"/>
    </row>
    <row r="961" spans="1:5">
      <c r="A961" s="25"/>
      <c r="B961" s="25"/>
      <c r="C961" s="25"/>
      <c r="D961" s="25"/>
      <c r="E961" s="24"/>
    </row>
    <row r="962" spans="1:5">
      <c r="A962" s="25"/>
      <c r="B962" s="25"/>
      <c r="C962" s="25"/>
      <c r="D962" s="25"/>
      <c r="E962" s="24"/>
    </row>
    <row r="963" spans="1:5">
      <c r="A963" s="25"/>
      <c r="B963" s="25"/>
      <c r="C963" s="25"/>
      <c r="D963" s="25"/>
      <c r="E963" s="24"/>
    </row>
    <row r="964" spans="1:5">
      <c r="A964" s="25"/>
      <c r="B964" s="25"/>
      <c r="C964" s="25"/>
      <c r="D964" s="25"/>
      <c r="E964" s="24"/>
    </row>
    <row r="965" spans="1:5">
      <c r="A965" s="25"/>
      <c r="B965" s="25"/>
      <c r="C965" s="25"/>
      <c r="D965" s="25"/>
      <c r="E965" s="24"/>
    </row>
    <row r="966" spans="1:5">
      <c r="A966" s="25">
        <v>54</v>
      </c>
      <c r="B966" s="25">
        <v>102</v>
      </c>
      <c r="C966" s="25"/>
      <c r="D966" s="25"/>
      <c r="E966" s="24"/>
    </row>
    <row r="967" spans="1:5">
      <c r="A967" s="25">
        <v>103.72</v>
      </c>
      <c r="B967" s="25">
        <v>6.6580000000000004</v>
      </c>
      <c r="C967" s="25"/>
      <c r="D967" s="25"/>
      <c r="E967" s="24"/>
    </row>
    <row r="968" spans="1:5">
      <c r="A968" s="25"/>
      <c r="B968" s="25">
        <f>100000*B967/((((A967/2)^2)*3.1415926)*B966)</f>
        <v>0.77255379262121349</v>
      </c>
      <c r="C968" s="25"/>
      <c r="D968" s="25"/>
      <c r="E968" s="24"/>
    </row>
    <row r="969" spans="1:5">
      <c r="A969" s="25"/>
      <c r="B969" s="25"/>
      <c r="C969" s="25"/>
      <c r="D969" s="25"/>
      <c r="E969" s="24"/>
    </row>
    <row r="970" spans="1:5">
      <c r="A970" s="25"/>
      <c r="B970" s="25"/>
      <c r="C970" s="25"/>
      <c r="D970" s="25"/>
      <c r="E970" s="24"/>
    </row>
    <row r="971" spans="1:5">
      <c r="A971" s="25"/>
      <c r="B971" s="25"/>
      <c r="C971" s="25"/>
      <c r="D971" s="25"/>
      <c r="E971" s="24"/>
    </row>
    <row r="972" spans="1:5">
      <c r="A972" s="25"/>
      <c r="B972" s="25"/>
      <c r="C972" s="25"/>
      <c r="D972" s="25"/>
      <c r="E972" s="24"/>
    </row>
    <row r="973" spans="1:5">
      <c r="A973" s="25"/>
      <c r="B973" s="25"/>
      <c r="C973" s="25"/>
      <c r="D973" s="25"/>
      <c r="E973" s="24"/>
    </row>
    <row r="974" spans="1:5">
      <c r="A974" s="25"/>
      <c r="B974" s="25"/>
      <c r="C974" s="25"/>
      <c r="D974" s="25"/>
      <c r="E974" s="24"/>
    </row>
    <row r="975" spans="1:5">
      <c r="A975" s="25"/>
      <c r="B975" s="25"/>
      <c r="C975" s="25"/>
      <c r="D975" s="25"/>
      <c r="E975" s="24"/>
    </row>
    <row r="976" spans="1:5">
      <c r="A976" s="25"/>
      <c r="B976" s="25"/>
      <c r="C976" s="25"/>
      <c r="D976" s="25"/>
      <c r="E976" s="24"/>
    </row>
    <row r="977" spans="1:5">
      <c r="A977" s="25"/>
      <c r="B977" s="25"/>
      <c r="C977" s="25"/>
      <c r="D977" s="25"/>
      <c r="E977" s="24"/>
    </row>
    <row r="978" spans="1:5">
      <c r="A978" s="25"/>
      <c r="B978" s="25"/>
      <c r="C978" s="25"/>
      <c r="D978" s="25"/>
      <c r="E978" s="24"/>
    </row>
    <row r="979" spans="1:5">
      <c r="A979" s="25"/>
      <c r="B979" s="25"/>
      <c r="C979" s="25"/>
      <c r="D979" s="25"/>
      <c r="E979" s="24"/>
    </row>
    <row r="980" spans="1:5">
      <c r="A980" s="25"/>
      <c r="B980" s="25"/>
      <c r="C980" s="25"/>
      <c r="D980" s="25"/>
      <c r="E980" s="24"/>
    </row>
    <row r="981" spans="1:5">
      <c r="A981" s="25"/>
      <c r="B981" s="25"/>
      <c r="C981" s="25"/>
      <c r="D981" s="25"/>
      <c r="E981" s="24"/>
    </row>
    <row r="982" spans="1:5">
      <c r="A982" s="25"/>
      <c r="B982" s="25"/>
      <c r="C982" s="25"/>
      <c r="D982" s="25"/>
      <c r="E982" s="24"/>
    </row>
    <row r="983" spans="1:5">
      <c r="A983" s="25"/>
      <c r="B983" s="25"/>
      <c r="C983" s="25"/>
      <c r="D983" s="25"/>
      <c r="E983" s="24"/>
    </row>
    <row r="984" spans="1:5">
      <c r="A984" s="25"/>
      <c r="B984" s="25"/>
      <c r="C984" s="25"/>
      <c r="D984" s="25"/>
      <c r="E984" s="24"/>
    </row>
    <row r="985" spans="1:5">
      <c r="A985" s="25"/>
      <c r="B985" s="25"/>
      <c r="C985" s="25"/>
      <c r="D985" s="25"/>
      <c r="E985" s="24"/>
    </row>
    <row r="986" spans="1:5">
      <c r="A986" s="25"/>
      <c r="B986" s="25"/>
      <c r="C986" s="25"/>
      <c r="D986" s="25"/>
      <c r="E986" s="24"/>
    </row>
    <row r="987" spans="1:5">
      <c r="A987" s="25"/>
      <c r="B987" s="25"/>
      <c r="C987" s="25"/>
      <c r="D987" s="25"/>
      <c r="E987" s="24"/>
    </row>
    <row r="988" spans="1:5">
      <c r="A988" s="25">
        <v>55</v>
      </c>
      <c r="B988" s="25">
        <v>102</v>
      </c>
      <c r="C988" s="25"/>
      <c r="D988" s="25"/>
      <c r="E988" s="24"/>
    </row>
    <row r="989" spans="1:5">
      <c r="A989" s="25">
        <v>103.17</v>
      </c>
      <c r="B989" s="25">
        <v>6.585</v>
      </c>
      <c r="C989" s="25"/>
      <c r="D989" s="25"/>
      <c r="E989" s="24"/>
    </row>
    <row r="990" spans="1:5">
      <c r="A990" s="25"/>
      <c r="B990" s="25">
        <f>100000*B989/((((A989/2)^2)*3.1415926)*B988)</f>
        <v>0.77225169908217106</v>
      </c>
      <c r="C990" s="25"/>
      <c r="D990" s="25"/>
      <c r="E990" s="24"/>
    </row>
    <row r="991" spans="1:5">
      <c r="A991" s="25"/>
      <c r="B991" s="25"/>
      <c r="C991" s="25"/>
      <c r="D991" s="25"/>
      <c r="E991" s="24"/>
    </row>
    <row r="992" spans="1:5">
      <c r="A992" s="25"/>
      <c r="B992" s="25"/>
      <c r="C992" s="25"/>
      <c r="D992" s="25"/>
      <c r="E992" s="24"/>
    </row>
    <row r="993" spans="1:5">
      <c r="A993" s="25"/>
      <c r="B993" s="25"/>
      <c r="C993" s="25"/>
      <c r="D993" s="25"/>
      <c r="E993" s="24"/>
    </row>
    <row r="994" spans="1:5">
      <c r="A994" s="25"/>
      <c r="B994" s="25"/>
      <c r="C994" s="25"/>
      <c r="D994" s="25"/>
      <c r="E994" s="24"/>
    </row>
    <row r="995" spans="1:5">
      <c r="A995" s="25"/>
      <c r="B995" s="25"/>
      <c r="C995" s="25"/>
      <c r="D995" s="25"/>
      <c r="E995" s="24"/>
    </row>
    <row r="996" spans="1:5">
      <c r="A996" s="25"/>
      <c r="B996" s="25"/>
      <c r="C996" s="25"/>
      <c r="D996" s="25"/>
      <c r="E996" s="24"/>
    </row>
    <row r="997" spans="1:5">
      <c r="A997" s="25"/>
      <c r="B997" s="25"/>
      <c r="C997" s="25"/>
      <c r="D997" s="25"/>
      <c r="E997" s="24"/>
    </row>
    <row r="998" spans="1:5">
      <c r="A998" s="25"/>
      <c r="B998" s="25"/>
      <c r="C998" s="25"/>
      <c r="D998" s="25"/>
      <c r="E998" s="24"/>
    </row>
    <row r="999" spans="1:5">
      <c r="A999" s="25"/>
      <c r="B999" s="25"/>
      <c r="C999" s="25"/>
      <c r="D999" s="25"/>
      <c r="E999" s="24"/>
    </row>
    <row r="1000" spans="1:5">
      <c r="A1000" s="25"/>
      <c r="B1000" s="25"/>
      <c r="C1000" s="25"/>
      <c r="D1000" s="25"/>
      <c r="E1000" s="24"/>
    </row>
    <row r="1001" spans="1:5">
      <c r="A1001" s="25"/>
      <c r="B1001" s="25"/>
      <c r="C1001" s="25"/>
      <c r="D1001" s="25"/>
      <c r="E1001" s="24"/>
    </row>
    <row r="1002" spans="1:5">
      <c r="A1002" s="25"/>
      <c r="B1002" s="25"/>
      <c r="C1002" s="25"/>
      <c r="D1002" s="25"/>
      <c r="E1002" s="24"/>
    </row>
    <row r="1003" spans="1:5">
      <c r="A1003" s="25"/>
      <c r="B1003" s="25"/>
      <c r="C1003" s="25"/>
      <c r="D1003" s="25"/>
      <c r="E1003" s="24"/>
    </row>
    <row r="1004" spans="1:5">
      <c r="A1004" s="25"/>
      <c r="B1004" s="25"/>
      <c r="C1004" s="25"/>
      <c r="D1004" s="25"/>
      <c r="E1004" s="24"/>
    </row>
    <row r="1005" spans="1:5">
      <c r="A1005" s="25"/>
      <c r="B1005" s="25"/>
      <c r="C1005" s="25"/>
      <c r="D1005" s="25"/>
      <c r="E1005" s="24"/>
    </row>
    <row r="1006" spans="1:5">
      <c r="A1006" s="25"/>
      <c r="B1006" s="25"/>
      <c r="C1006" s="25"/>
      <c r="D1006" s="25"/>
      <c r="E1006" s="24"/>
    </row>
    <row r="1007" spans="1:5">
      <c r="A1007" s="25"/>
      <c r="B1007" s="25"/>
      <c r="C1007" s="25"/>
      <c r="D1007" s="25"/>
      <c r="E1007" s="24"/>
    </row>
    <row r="1008" spans="1:5">
      <c r="A1008" s="25">
        <v>56</v>
      </c>
      <c r="B1008" s="25">
        <v>101.5</v>
      </c>
      <c r="C1008" s="25"/>
      <c r="D1008" s="25"/>
      <c r="E1008" s="24"/>
    </row>
    <row r="1009" spans="1:5">
      <c r="A1009" s="25">
        <v>103.67</v>
      </c>
      <c r="B1009" s="25">
        <v>6.65</v>
      </c>
      <c r="C1009" s="25"/>
      <c r="D1009" s="25"/>
      <c r="E1009" s="24"/>
    </row>
    <row r="1010" spans="1:5">
      <c r="A1010" s="25"/>
      <c r="B1010" s="25">
        <f>100000*B1009/((((A1009/2)^2)*3.1415926)*B1008)</f>
        <v>0.77617478855020505</v>
      </c>
      <c r="C1010" s="25"/>
      <c r="D1010" s="25"/>
      <c r="E1010" s="24"/>
    </row>
    <row r="1011" spans="1:5">
      <c r="A1011" s="25"/>
      <c r="B1011" s="25"/>
      <c r="C1011" s="25"/>
      <c r="D1011" s="25"/>
      <c r="E1011" s="24"/>
    </row>
    <row r="1012" spans="1:5">
      <c r="A1012" s="25"/>
      <c r="B1012" s="25"/>
      <c r="C1012" s="25"/>
      <c r="D1012" s="25"/>
      <c r="E1012" s="24"/>
    </row>
    <row r="1013" spans="1:5">
      <c r="A1013" s="25"/>
      <c r="B1013" s="25"/>
      <c r="C1013" s="25"/>
      <c r="D1013" s="25"/>
      <c r="E1013" s="24"/>
    </row>
    <row r="1014" spans="1:5">
      <c r="A1014" s="25"/>
      <c r="B1014" s="25"/>
      <c r="C1014" s="25"/>
      <c r="D1014" s="25"/>
      <c r="E1014" s="24"/>
    </row>
    <row r="1015" spans="1:5">
      <c r="A1015" s="25"/>
      <c r="B1015" s="25"/>
      <c r="C1015" s="25"/>
      <c r="D1015" s="25"/>
      <c r="E1015" s="24"/>
    </row>
    <row r="1016" spans="1:5">
      <c r="A1016" s="25"/>
      <c r="B1016" s="25"/>
      <c r="C1016" s="25"/>
      <c r="D1016" s="25"/>
      <c r="E1016" s="24"/>
    </row>
    <row r="1017" spans="1:5">
      <c r="A1017" s="25"/>
      <c r="B1017" s="25"/>
      <c r="C1017" s="25"/>
      <c r="D1017" s="25"/>
      <c r="E1017" s="24"/>
    </row>
    <row r="1018" spans="1:5">
      <c r="A1018" s="25"/>
      <c r="B1018" s="25"/>
      <c r="C1018" s="25"/>
      <c r="D1018" s="25"/>
      <c r="E1018" s="24"/>
    </row>
    <row r="1019" spans="1:5">
      <c r="A1019" s="25"/>
      <c r="B1019" s="25"/>
      <c r="C1019" s="25"/>
      <c r="D1019" s="25"/>
      <c r="E1019" s="24"/>
    </row>
    <row r="1020" spans="1:5">
      <c r="A1020" s="25"/>
      <c r="B1020" s="25"/>
      <c r="C1020" s="25"/>
      <c r="D1020" s="25"/>
      <c r="E1020" s="24"/>
    </row>
    <row r="1021" spans="1:5">
      <c r="A1021" s="25"/>
      <c r="B1021" s="25"/>
      <c r="C1021" s="25"/>
      <c r="D1021" s="25"/>
      <c r="E1021" s="24"/>
    </row>
    <row r="1022" spans="1:5">
      <c r="A1022" s="25"/>
      <c r="B1022" s="25"/>
      <c r="C1022" s="25"/>
      <c r="D1022" s="25"/>
      <c r="E1022" s="24"/>
    </row>
    <row r="1023" spans="1:5">
      <c r="A1023" s="25"/>
      <c r="B1023" s="25"/>
      <c r="C1023" s="25"/>
      <c r="D1023" s="25"/>
      <c r="E1023" s="24"/>
    </row>
    <row r="1024" spans="1:5">
      <c r="A1024" s="25"/>
      <c r="B1024" s="25"/>
      <c r="C1024" s="25"/>
      <c r="D1024" s="25"/>
      <c r="E1024" s="24"/>
    </row>
    <row r="1025" spans="1:5">
      <c r="A1025" s="25"/>
      <c r="B1025" s="25"/>
      <c r="C1025" s="25"/>
      <c r="D1025" s="25"/>
      <c r="E1025" s="24"/>
    </row>
    <row r="1026" spans="1:5">
      <c r="A1026" s="25"/>
      <c r="B1026" s="25"/>
      <c r="C1026" s="25"/>
      <c r="D1026" s="25"/>
      <c r="E1026" s="24"/>
    </row>
    <row r="1027" spans="1:5">
      <c r="A1027" s="25"/>
      <c r="B1027" s="25"/>
      <c r="C1027" s="25"/>
      <c r="D1027" s="25"/>
      <c r="E1027" s="24"/>
    </row>
    <row r="1028" spans="1:5">
      <c r="A1028" s="25"/>
      <c r="B1028" s="25"/>
      <c r="C1028" s="25"/>
      <c r="D1028" s="25"/>
      <c r="E1028" s="24"/>
    </row>
    <row r="1029" spans="1:5">
      <c r="A1029" s="25"/>
      <c r="B1029" s="25"/>
      <c r="C1029" s="25"/>
      <c r="D1029" s="25"/>
      <c r="E1029" s="24"/>
    </row>
    <row r="1030" spans="1:5">
      <c r="A1030" s="25"/>
      <c r="B1030" s="25"/>
      <c r="C1030" s="25"/>
      <c r="D1030" s="25"/>
      <c r="E1030" s="24"/>
    </row>
    <row r="1031" spans="1:5">
      <c r="A1031" s="25"/>
      <c r="B1031" s="25"/>
      <c r="C1031" s="25"/>
      <c r="D1031" s="25"/>
      <c r="E1031" s="24"/>
    </row>
    <row r="1032" spans="1:5">
      <c r="A1032" s="25"/>
      <c r="B1032" s="25"/>
      <c r="C1032" s="25"/>
      <c r="D1032" s="25"/>
      <c r="E1032" s="24"/>
    </row>
    <row r="1033" spans="1:5">
      <c r="A1033" s="25"/>
      <c r="B1033" s="25"/>
      <c r="C1033" s="25"/>
      <c r="D1033" s="25"/>
      <c r="E1033" s="24"/>
    </row>
    <row r="1034" spans="1:5">
      <c r="A1034" s="25"/>
      <c r="B1034" s="25"/>
      <c r="C1034" s="25"/>
      <c r="D1034" s="25"/>
      <c r="E1034" s="24"/>
    </row>
    <row r="1035" spans="1:5">
      <c r="A1035" s="25">
        <v>57</v>
      </c>
      <c r="B1035" s="25">
        <v>100</v>
      </c>
      <c r="C1035" s="25"/>
      <c r="D1035" s="25"/>
      <c r="E1035" s="24"/>
    </row>
    <row r="1036" spans="1:5">
      <c r="A1036" s="25">
        <v>103.98</v>
      </c>
      <c r="B1036" s="25">
        <v>6.4870000000000001</v>
      </c>
      <c r="C1036" s="25"/>
      <c r="D1036" s="25"/>
      <c r="E1036" s="24"/>
    </row>
    <row r="1037" spans="1:5">
      <c r="A1037" s="25"/>
      <c r="B1037" s="25">
        <f>100000*B1036/((((A1036/2)^2)*3.1415926)*B1035)</f>
        <v>0.76393146421112235</v>
      </c>
      <c r="C1037" s="25"/>
      <c r="D1037" s="25"/>
      <c r="E1037" s="24"/>
    </row>
    <row r="1038" spans="1:5">
      <c r="A1038" s="25"/>
      <c r="B1038" s="25"/>
      <c r="C1038" s="25"/>
      <c r="D1038" s="25"/>
      <c r="E1038" s="24"/>
    </row>
    <row r="1039" spans="1:5">
      <c r="A1039" s="25"/>
      <c r="B1039" s="25"/>
      <c r="C1039" s="25"/>
      <c r="D1039" s="25"/>
      <c r="E1039" s="24"/>
    </row>
    <row r="1040" spans="1:5">
      <c r="A1040" s="25"/>
      <c r="B1040" s="25"/>
      <c r="C1040" s="25"/>
      <c r="D1040" s="25"/>
      <c r="E1040" s="24"/>
    </row>
    <row r="1041" spans="1:5">
      <c r="A1041" s="25"/>
      <c r="B1041" s="25"/>
      <c r="C1041" s="25"/>
      <c r="D1041" s="25"/>
      <c r="E1041" s="24"/>
    </row>
    <row r="1042" spans="1:5">
      <c r="A1042" s="25"/>
      <c r="B1042" s="25"/>
      <c r="C1042" s="25"/>
      <c r="D1042" s="25"/>
      <c r="E1042" s="24"/>
    </row>
    <row r="1043" spans="1:5">
      <c r="A1043" s="25"/>
      <c r="B1043" s="25"/>
      <c r="C1043" s="25"/>
      <c r="D1043" s="25"/>
      <c r="E1043" s="24"/>
    </row>
    <row r="1044" spans="1:5">
      <c r="A1044" s="25"/>
      <c r="B1044" s="25"/>
      <c r="C1044" s="25"/>
      <c r="D1044" s="25"/>
      <c r="E1044" s="24"/>
    </row>
    <row r="1045" spans="1:5">
      <c r="A1045" s="25"/>
      <c r="B1045" s="25"/>
      <c r="C1045" s="25"/>
      <c r="D1045" s="25"/>
      <c r="E1045" s="24"/>
    </row>
    <row r="1046" spans="1:5">
      <c r="A1046" s="25"/>
      <c r="B1046" s="25"/>
      <c r="C1046" s="25"/>
      <c r="D1046" s="25"/>
      <c r="E1046" s="24"/>
    </row>
    <row r="1047" spans="1:5">
      <c r="A1047" s="25"/>
      <c r="B1047" s="25"/>
      <c r="C1047" s="25"/>
      <c r="D1047" s="25"/>
      <c r="E1047" s="24"/>
    </row>
    <row r="1048" spans="1:5">
      <c r="A1048" s="25"/>
      <c r="B1048" s="25"/>
      <c r="C1048" s="25"/>
      <c r="D1048" s="25"/>
      <c r="E1048" s="24"/>
    </row>
    <row r="1049" spans="1:5">
      <c r="A1049" s="25">
        <v>58</v>
      </c>
      <c r="B1049" s="25">
        <v>102</v>
      </c>
      <c r="C1049" s="25"/>
      <c r="D1049" s="25"/>
      <c r="E1049" s="24"/>
    </row>
    <row r="1050" spans="1:5">
      <c r="A1050" s="25">
        <v>103.85</v>
      </c>
      <c r="B1050" s="25">
        <v>6.8440000000000003</v>
      </c>
      <c r="C1050" s="25"/>
      <c r="D1050" s="25"/>
      <c r="E1050" s="24"/>
    </row>
    <row r="1051" spans="1:5">
      <c r="A1051" s="25"/>
      <c r="B1051" s="25">
        <f>100000*B1050/((((A1050/2)^2)*3.1415926)*B1049)</f>
        <v>0.7921491370016821</v>
      </c>
      <c r="C1051" s="25"/>
      <c r="D1051" s="25"/>
      <c r="E1051" s="24"/>
    </row>
    <row r="1052" spans="1:5">
      <c r="A1052" s="25"/>
      <c r="B1052" s="25"/>
      <c r="C1052" s="25"/>
      <c r="D1052" s="25"/>
      <c r="E1052" s="24"/>
    </row>
    <row r="1053" spans="1:5">
      <c r="A1053" s="25"/>
      <c r="B1053" s="25"/>
      <c r="C1053" s="25"/>
      <c r="D1053" s="25"/>
      <c r="E1053" s="24"/>
    </row>
    <row r="1054" spans="1:5">
      <c r="A1054" s="25"/>
      <c r="B1054" s="25"/>
      <c r="C1054" s="25"/>
      <c r="D1054" s="25"/>
      <c r="E1054" s="24"/>
    </row>
    <row r="1055" spans="1:5">
      <c r="A1055" s="25"/>
      <c r="B1055" s="25"/>
      <c r="C1055" s="25"/>
      <c r="D1055" s="25"/>
      <c r="E1055" s="24"/>
    </row>
    <row r="1056" spans="1:5">
      <c r="A1056" s="25"/>
      <c r="B1056" s="25"/>
      <c r="C1056" s="25"/>
      <c r="D1056" s="25"/>
      <c r="E1056" s="24"/>
    </row>
    <row r="1057" spans="1:5">
      <c r="A1057" s="25"/>
      <c r="B1057" s="25"/>
      <c r="C1057" s="25"/>
      <c r="D1057" s="25"/>
      <c r="E1057" s="24"/>
    </row>
    <row r="1058" spans="1:5">
      <c r="A1058" s="25"/>
      <c r="B1058" s="25"/>
      <c r="C1058" s="25"/>
      <c r="D1058" s="25"/>
      <c r="E1058" s="24"/>
    </row>
    <row r="1059" spans="1:5">
      <c r="A1059" s="25"/>
      <c r="B1059" s="25"/>
      <c r="C1059" s="25"/>
      <c r="D1059" s="25"/>
      <c r="E1059" s="24"/>
    </row>
    <row r="1060" spans="1:5">
      <c r="A1060" s="25"/>
      <c r="B1060" s="25"/>
      <c r="C1060" s="25"/>
      <c r="D1060" s="25"/>
      <c r="E1060" s="24"/>
    </row>
    <row r="1061" spans="1:5">
      <c r="A1061" s="25"/>
      <c r="B1061" s="25"/>
      <c r="C1061" s="25"/>
      <c r="D1061" s="25"/>
      <c r="E1061" s="24"/>
    </row>
    <row r="1062" spans="1:5">
      <c r="A1062" s="25"/>
      <c r="B1062" s="25"/>
      <c r="C1062" s="25"/>
      <c r="D1062" s="25"/>
      <c r="E1062" s="24"/>
    </row>
    <row r="1063" spans="1:5">
      <c r="A1063" s="25"/>
      <c r="B1063" s="25"/>
      <c r="C1063" s="25"/>
      <c r="D1063" s="25"/>
      <c r="E1063" s="24"/>
    </row>
    <row r="1064" spans="1:5">
      <c r="A1064" s="25"/>
      <c r="B1064" s="25"/>
      <c r="C1064" s="25"/>
      <c r="D1064" s="25"/>
      <c r="E1064" s="24"/>
    </row>
    <row r="1065" spans="1:5">
      <c r="A1065" s="25"/>
      <c r="B1065" s="25"/>
      <c r="C1065" s="25"/>
      <c r="D1065" s="25"/>
      <c r="E1065" s="24"/>
    </row>
    <row r="1066" spans="1:5">
      <c r="A1066" s="25"/>
      <c r="B1066" s="25"/>
      <c r="C1066" s="25"/>
      <c r="D1066" s="25"/>
      <c r="E1066" s="24"/>
    </row>
    <row r="1067" spans="1:5">
      <c r="A1067" s="25"/>
      <c r="B1067" s="25"/>
      <c r="C1067" s="25"/>
      <c r="D1067" s="25"/>
      <c r="E1067" s="24"/>
    </row>
    <row r="1068" spans="1:5">
      <c r="A1068" s="25">
        <v>59</v>
      </c>
      <c r="B1068" s="25">
        <v>101.5</v>
      </c>
      <c r="C1068" s="25"/>
      <c r="D1068" s="25"/>
      <c r="E1068" s="24"/>
    </row>
    <row r="1069" spans="1:5">
      <c r="A1069" s="25">
        <v>103.85</v>
      </c>
      <c r="B1069" s="25">
        <v>6.7889999999999997</v>
      </c>
      <c r="C1069" s="25"/>
      <c r="D1069" s="25"/>
      <c r="E1069" s="24"/>
    </row>
    <row r="1070" spans="1:5">
      <c r="A1070" s="25"/>
      <c r="B1070" s="25">
        <f>100000*B1069/((((A1069/2)^2)*3.1415926)*B1068)</f>
        <v>0.78965409289162092</v>
      </c>
      <c r="C1070" s="25"/>
      <c r="D1070" s="25"/>
      <c r="E1070" s="24"/>
    </row>
    <row r="1071" spans="1:5">
      <c r="A1071" s="25"/>
      <c r="B1071" s="25"/>
      <c r="C1071" s="25"/>
      <c r="D1071" s="25"/>
      <c r="E1071" s="24"/>
    </row>
    <row r="1072" spans="1:5">
      <c r="A1072" s="25"/>
      <c r="B1072" s="25"/>
      <c r="C1072" s="25"/>
      <c r="D1072" s="25"/>
      <c r="E1072" s="24"/>
    </row>
    <row r="1073" spans="1:5">
      <c r="A1073" s="25"/>
      <c r="B1073" s="25"/>
      <c r="C1073" s="25"/>
      <c r="D1073" s="25"/>
      <c r="E1073" s="24"/>
    </row>
    <row r="1074" spans="1:5">
      <c r="A1074" s="25"/>
      <c r="B1074" s="25"/>
      <c r="C1074" s="25"/>
      <c r="D1074" s="25"/>
      <c r="E1074" s="24"/>
    </row>
    <row r="1075" spans="1:5">
      <c r="A1075" s="25"/>
      <c r="B1075" s="25"/>
      <c r="C1075" s="25"/>
      <c r="D1075" s="25"/>
      <c r="E1075" s="24"/>
    </row>
    <row r="1076" spans="1:5">
      <c r="A1076" s="25"/>
      <c r="B1076" s="25"/>
      <c r="C1076" s="25"/>
      <c r="D1076" s="25"/>
      <c r="E1076" s="24"/>
    </row>
    <row r="1077" spans="1:5">
      <c r="A1077" s="25"/>
      <c r="B1077" s="25"/>
      <c r="C1077" s="25"/>
      <c r="D1077" s="25"/>
      <c r="E1077" s="24"/>
    </row>
    <row r="1078" spans="1:5">
      <c r="A1078" s="25"/>
      <c r="B1078" s="25"/>
      <c r="C1078" s="25"/>
      <c r="D1078" s="25"/>
      <c r="E1078" s="24"/>
    </row>
    <row r="1079" spans="1:5">
      <c r="A1079" s="25"/>
      <c r="B1079" s="25"/>
      <c r="C1079" s="25"/>
      <c r="D1079" s="25"/>
      <c r="E1079" s="24"/>
    </row>
    <row r="1080" spans="1:5">
      <c r="A1080" s="25"/>
      <c r="B1080" s="25"/>
      <c r="C1080" s="25"/>
      <c r="D1080" s="25"/>
      <c r="E1080" s="24"/>
    </row>
    <row r="1081" spans="1:5">
      <c r="A1081" s="25"/>
      <c r="B1081" s="25"/>
      <c r="C1081" s="25"/>
      <c r="D1081" s="25"/>
      <c r="E1081" s="24"/>
    </row>
    <row r="1082" spans="1:5">
      <c r="A1082" s="25"/>
      <c r="B1082" s="25"/>
      <c r="C1082" s="25"/>
      <c r="D1082" s="25"/>
      <c r="E1082" s="24"/>
    </row>
    <row r="1083" spans="1:5">
      <c r="A1083" s="25"/>
      <c r="B1083" s="25"/>
      <c r="C1083" s="25"/>
      <c r="D1083" s="25"/>
      <c r="E1083" s="24"/>
    </row>
    <row r="1084" spans="1:5">
      <c r="A1084" s="25"/>
      <c r="B1084" s="25"/>
      <c r="C1084" s="25"/>
      <c r="D1084" s="25"/>
      <c r="E1084" s="24"/>
    </row>
    <row r="1085" spans="1:5">
      <c r="A1085" s="25"/>
      <c r="B1085" s="25"/>
      <c r="C1085" s="25"/>
      <c r="D1085" s="25"/>
      <c r="E1085" s="24"/>
    </row>
    <row r="1086" spans="1:5">
      <c r="A1086" s="25"/>
      <c r="B1086" s="25"/>
      <c r="C1086" s="25"/>
      <c r="D1086" s="25"/>
      <c r="E1086" s="24"/>
    </row>
    <row r="1087" spans="1:5">
      <c r="A1087" s="25">
        <v>60</v>
      </c>
      <c r="B1087" s="25">
        <v>101.5</v>
      </c>
      <c r="C1087" s="25"/>
      <c r="D1087" s="25"/>
      <c r="E1087" s="24"/>
    </row>
    <row r="1088" spans="1:5">
      <c r="A1088" s="25">
        <v>104.06</v>
      </c>
      <c r="B1088" s="25">
        <v>6.7910000000000004</v>
      </c>
      <c r="C1088" s="25"/>
      <c r="D1088" s="25"/>
      <c r="E1088" s="24"/>
    </row>
    <row r="1089" spans="1:5">
      <c r="A1089" s="25"/>
      <c r="B1089" s="25">
        <f>100000*B1088/((((A1088/2)^2)*3.1415926)*B1087)</f>
        <v>0.78670184943263954</v>
      </c>
      <c r="C1089" s="25"/>
      <c r="D1089" s="25"/>
      <c r="E1089" s="24"/>
    </row>
    <row r="1090" spans="1:5">
      <c r="A1090" s="25"/>
      <c r="B1090" s="25"/>
      <c r="C1090" s="25"/>
      <c r="D1090" s="25"/>
      <c r="E1090" s="24"/>
    </row>
    <row r="1091" spans="1:5">
      <c r="A1091" s="25"/>
      <c r="B1091" s="25"/>
      <c r="C1091" s="25"/>
      <c r="D1091" s="25"/>
      <c r="E1091" s="24"/>
    </row>
    <row r="1092" spans="1:5">
      <c r="A1092" s="25"/>
      <c r="B1092" s="25"/>
      <c r="C1092" s="25"/>
      <c r="D1092" s="25"/>
      <c r="E1092" s="24"/>
    </row>
    <row r="1093" spans="1:5">
      <c r="A1093" s="25"/>
      <c r="B1093" s="25"/>
      <c r="C1093" s="25"/>
      <c r="D1093" s="25"/>
      <c r="E1093" s="24"/>
    </row>
    <row r="1094" spans="1:5">
      <c r="A1094" s="25"/>
      <c r="B1094" s="25"/>
      <c r="C1094" s="25"/>
      <c r="D1094" s="25"/>
      <c r="E1094" s="24"/>
    </row>
    <row r="1095" spans="1:5">
      <c r="A1095" s="25"/>
      <c r="B1095" s="25"/>
      <c r="C1095" s="25"/>
      <c r="D1095" s="25"/>
      <c r="E1095" s="24"/>
    </row>
    <row r="1096" spans="1:5">
      <c r="A1096" s="25"/>
      <c r="B1096" s="25"/>
      <c r="C1096" s="25"/>
      <c r="D1096" s="25"/>
      <c r="E1096" s="24"/>
    </row>
    <row r="1097" spans="1:5">
      <c r="A1097" s="25">
        <v>61</v>
      </c>
      <c r="B1097" s="25">
        <v>102.5</v>
      </c>
      <c r="C1097" s="25"/>
      <c r="D1097" s="25"/>
      <c r="E1097" s="24"/>
    </row>
    <row r="1098" spans="1:5">
      <c r="A1098" s="25">
        <v>104</v>
      </c>
      <c r="B1098" s="25">
        <v>6.9130000000000003</v>
      </c>
      <c r="C1098" s="25"/>
      <c r="D1098" s="25"/>
      <c r="E1098" s="24"/>
    </row>
    <row r="1099" spans="1:5">
      <c r="A1099" s="25"/>
      <c r="B1099" s="25">
        <f>100000*B1098/((((A1098/2)^2)*3.1415926)*B1097)</f>
        <v>0.79393717734327585</v>
      </c>
      <c r="C1099" s="25"/>
      <c r="D1099" s="25"/>
      <c r="E1099" s="24"/>
    </row>
    <row r="1100" spans="1:5">
      <c r="A1100" s="25"/>
      <c r="B1100" s="25"/>
      <c r="C1100" s="25"/>
      <c r="D1100" s="25"/>
      <c r="E1100" s="24"/>
    </row>
    <row r="1101" spans="1:5">
      <c r="A1101" s="25"/>
      <c r="B1101" s="25"/>
      <c r="C1101" s="25"/>
      <c r="D1101" s="25"/>
      <c r="E1101" s="24"/>
    </row>
    <row r="1102" spans="1:5">
      <c r="A1102" s="25"/>
      <c r="B1102" s="25"/>
      <c r="C1102" s="25"/>
      <c r="D1102" s="25"/>
      <c r="E1102" s="24"/>
    </row>
    <row r="1103" spans="1:5">
      <c r="A1103" s="25"/>
      <c r="B1103" s="25"/>
      <c r="C1103" s="25"/>
      <c r="D1103" s="25"/>
      <c r="E1103" s="24"/>
    </row>
    <row r="1104" spans="1:5">
      <c r="A1104" s="25"/>
      <c r="B1104" s="25"/>
      <c r="C1104" s="25"/>
      <c r="D1104" s="25"/>
      <c r="E1104" s="24"/>
    </row>
    <row r="1105" spans="1:5">
      <c r="A1105" s="25"/>
      <c r="B1105" s="25"/>
      <c r="C1105" s="25"/>
      <c r="D1105" s="25"/>
      <c r="E1105" s="24"/>
    </row>
    <row r="1106" spans="1:5">
      <c r="A1106" s="25"/>
      <c r="B1106" s="25"/>
      <c r="C1106" s="25"/>
      <c r="D1106" s="25"/>
      <c r="E1106" s="24"/>
    </row>
    <row r="1107" spans="1:5">
      <c r="A1107" s="25"/>
      <c r="B1107" s="25"/>
      <c r="C1107" s="25"/>
      <c r="D1107" s="25"/>
      <c r="E1107" s="24"/>
    </row>
    <row r="1108" spans="1:5">
      <c r="A1108" s="25"/>
      <c r="B1108" s="25"/>
      <c r="C1108" s="25"/>
      <c r="D1108" s="25"/>
      <c r="E1108" s="24"/>
    </row>
    <row r="1109" spans="1:5">
      <c r="A1109" s="25"/>
      <c r="B1109" s="25"/>
      <c r="C1109" s="25"/>
      <c r="D1109" s="25"/>
      <c r="E1109" s="24"/>
    </row>
    <row r="1110" spans="1:5">
      <c r="A1110" s="25"/>
      <c r="B1110" s="25"/>
      <c r="C1110" s="25"/>
      <c r="D1110" s="25"/>
      <c r="E1110" s="24"/>
    </row>
    <row r="1111" spans="1:5">
      <c r="A1111" s="25"/>
      <c r="B1111" s="25"/>
      <c r="C1111" s="25"/>
      <c r="D1111" s="25"/>
      <c r="E1111" s="24"/>
    </row>
    <row r="1112" spans="1:5">
      <c r="A1112" s="25"/>
      <c r="B1112" s="25"/>
      <c r="C1112" s="25"/>
      <c r="D1112" s="25"/>
      <c r="E1112" s="24"/>
    </row>
    <row r="1113" spans="1:5">
      <c r="A1113" s="25">
        <v>62</v>
      </c>
      <c r="B1113" s="25">
        <v>99.5</v>
      </c>
      <c r="C1113" s="25"/>
      <c r="D1113" s="25"/>
      <c r="E1113" s="24"/>
    </row>
    <row r="1114" spans="1:5">
      <c r="A1114" s="25">
        <v>103.57</v>
      </c>
      <c r="B1114" s="25">
        <v>6.6660000000000004</v>
      </c>
      <c r="C1114" s="25"/>
      <c r="D1114" s="25"/>
      <c r="E1114" s="24"/>
    </row>
    <row r="1115" spans="1:5">
      <c r="A1115" s="25"/>
      <c r="B1115" s="25">
        <f>100000*B1114/((((A1114/2)^2)*3.1415926)*B1113)</f>
        <v>0.79521470454341814</v>
      </c>
      <c r="C1115" s="25"/>
      <c r="D1115" s="25"/>
      <c r="E1115" s="24"/>
    </row>
    <row r="1116" spans="1:5">
      <c r="A1116" s="25"/>
      <c r="B1116" s="25"/>
      <c r="C1116" s="25"/>
      <c r="D1116" s="25"/>
      <c r="E1116" s="24"/>
    </row>
    <row r="1117" spans="1:5">
      <c r="A1117" s="25"/>
      <c r="B1117" s="25"/>
      <c r="C1117" s="25"/>
      <c r="D1117" s="25"/>
      <c r="E1117" s="24"/>
    </row>
    <row r="1118" spans="1:5">
      <c r="A1118" s="25"/>
      <c r="B1118" s="25"/>
      <c r="C1118" s="25"/>
      <c r="D1118" s="25"/>
      <c r="E1118" s="24"/>
    </row>
    <row r="1119" spans="1:5">
      <c r="A1119" s="25"/>
      <c r="B1119" s="25"/>
      <c r="C1119" s="25"/>
      <c r="D1119" s="25"/>
      <c r="E1119" s="24"/>
    </row>
    <row r="1120" spans="1:5">
      <c r="A1120" s="25"/>
      <c r="B1120" s="25"/>
      <c r="C1120" s="25"/>
      <c r="D1120" s="25"/>
      <c r="E1120" s="24"/>
    </row>
    <row r="1121" spans="1:5">
      <c r="A1121" s="25"/>
      <c r="B1121" s="25"/>
      <c r="C1121" s="25"/>
      <c r="D1121" s="25"/>
      <c r="E1121" s="24"/>
    </row>
    <row r="1122" spans="1:5">
      <c r="A1122" s="25"/>
      <c r="B1122" s="25"/>
      <c r="C1122" s="25"/>
      <c r="D1122" s="25"/>
      <c r="E1122" s="24"/>
    </row>
    <row r="1123" spans="1:5">
      <c r="A1123" s="25"/>
      <c r="B1123" s="25"/>
      <c r="C1123" s="25"/>
      <c r="D1123" s="25"/>
      <c r="E1123" s="24"/>
    </row>
    <row r="1124" spans="1:5">
      <c r="A1124" s="25"/>
      <c r="B1124" s="25"/>
      <c r="C1124" s="25"/>
      <c r="D1124" s="25"/>
      <c r="E1124" s="24"/>
    </row>
    <row r="1125" spans="1:5">
      <c r="A1125" s="25"/>
      <c r="B1125" s="25"/>
      <c r="C1125" s="25"/>
      <c r="D1125" s="25"/>
      <c r="E1125" s="24"/>
    </row>
    <row r="1126" spans="1:5">
      <c r="A1126" s="25">
        <v>63</v>
      </c>
      <c r="B1126" s="25">
        <v>100.5</v>
      </c>
      <c r="C1126" s="25"/>
      <c r="D1126" s="25"/>
      <c r="E1126" s="24"/>
    </row>
    <row r="1127" spans="1:5">
      <c r="A1127" s="25">
        <v>104</v>
      </c>
      <c r="B1127" s="25">
        <v>6.7960000000000003</v>
      </c>
      <c r="C1127" s="25"/>
      <c r="D1127" s="25"/>
      <c r="E1127" s="24"/>
    </row>
    <row r="1128" spans="1:5">
      <c r="A1128" s="25"/>
      <c r="B1128" s="25">
        <f>100000*B1127/((((A1127/2)^2)*3.1415926)*B1126)</f>
        <v>0.79603242051791168</v>
      </c>
      <c r="C1128" s="25"/>
      <c r="D1128" s="25"/>
      <c r="E1128" s="24"/>
    </row>
    <row r="1129" spans="1:5">
      <c r="A1129" s="25"/>
      <c r="B1129" s="25"/>
      <c r="C1129" s="25"/>
      <c r="D1129" s="25"/>
      <c r="E1129" s="24"/>
    </row>
    <row r="1130" spans="1:5">
      <c r="A1130" s="25"/>
      <c r="B1130" s="25"/>
      <c r="C1130" s="25"/>
      <c r="D1130" s="25"/>
      <c r="E1130" s="24"/>
    </row>
    <row r="1131" spans="1:5">
      <c r="A1131" s="25"/>
      <c r="B1131" s="25"/>
      <c r="C1131" s="25"/>
      <c r="D1131" s="25"/>
      <c r="E1131" s="24"/>
    </row>
    <row r="1132" spans="1:5">
      <c r="A1132" s="25"/>
      <c r="B1132" s="25"/>
      <c r="C1132" s="25"/>
      <c r="D1132" s="25"/>
      <c r="E1132" s="24"/>
    </row>
    <row r="1133" spans="1:5">
      <c r="A1133" s="25"/>
      <c r="B1133" s="25"/>
      <c r="C1133" s="25"/>
      <c r="D1133" s="25"/>
      <c r="E1133" s="24"/>
    </row>
    <row r="1134" spans="1:5">
      <c r="A1134" s="25"/>
      <c r="B1134" s="25"/>
      <c r="C1134" s="25"/>
      <c r="D1134" s="25"/>
      <c r="E1134" s="24"/>
    </row>
    <row r="1135" spans="1:5">
      <c r="A1135" s="25">
        <v>64</v>
      </c>
      <c r="B1135" s="25">
        <v>101</v>
      </c>
      <c r="C1135" s="25"/>
      <c r="D1135" s="25"/>
      <c r="E1135" s="24"/>
    </row>
    <row r="1136" spans="1:5">
      <c r="A1136" s="25">
        <v>104</v>
      </c>
      <c r="B1136" s="25">
        <v>6.9160000000000004</v>
      </c>
      <c r="C1136" s="25"/>
      <c r="D1136" s="25"/>
      <c r="E1136" s="24"/>
    </row>
    <row r="1137" spans="1:5">
      <c r="A1137" s="25"/>
      <c r="B1137" s="25">
        <f>100000*B1136/((((A1136/2)^2)*3.1415926)*B1135)</f>
        <v>0.80607798142812415</v>
      </c>
      <c r="C1137" s="25"/>
      <c r="D1137" s="25"/>
      <c r="E1137" s="24"/>
    </row>
    <row r="1138" spans="1:5">
      <c r="A1138" s="25"/>
      <c r="B1138" s="25"/>
      <c r="C1138" s="25"/>
      <c r="D1138" s="25"/>
      <c r="E1138" s="24"/>
    </row>
    <row r="1139" spans="1:5">
      <c r="A1139" s="25"/>
      <c r="B1139" s="25"/>
      <c r="C1139" s="25"/>
      <c r="D1139" s="25"/>
      <c r="E1139" s="24"/>
    </row>
    <row r="1140" spans="1:5">
      <c r="A1140" s="25"/>
      <c r="B1140" s="25"/>
      <c r="C1140" s="25"/>
      <c r="D1140" s="25"/>
      <c r="E1140" s="24"/>
    </row>
    <row r="1141" spans="1:5">
      <c r="A1141" s="25"/>
      <c r="B1141" s="25"/>
      <c r="C1141" s="25"/>
      <c r="D1141" s="25"/>
      <c r="E1141" s="24"/>
    </row>
    <row r="1142" spans="1:5">
      <c r="A1142" s="25"/>
      <c r="B1142" s="25"/>
      <c r="C1142" s="25"/>
      <c r="D1142" s="25"/>
      <c r="E1142" s="24"/>
    </row>
    <row r="1143" spans="1:5">
      <c r="A1143" s="25"/>
      <c r="B1143" s="25"/>
      <c r="C1143" s="25"/>
      <c r="D1143" s="25"/>
      <c r="E1143" s="24"/>
    </row>
    <row r="1144" spans="1:5">
      <c r="A1144" s="25"/>
      <c r="B1144" s="25"/>
      <c r="C1144" s="25"/>
      <c r="D1144" s="25"/>
      <c r="E1144" s="24"/>
    </row>
    <row r="1145" spans="1:5">
      <c r="A1145" s="25"/>
      <c r="B1145" s="25"/>
      <c r="C1145" s="25"/>
      <c r="D1145" s="25"/>
      <c r="E1145" s="24"/>
    </row>
    <row r="1146" spans="1:5">
      <c r="A1146" s="25"/>
      <c r="B1146" s="25"/>
      <c r="C1146" s="25"/>
      <c r="D1146" s="25"/>
      <c r="E1146" s="24"/>
    </row>
    <row r="1147" spans="1:5">
      <c r="A1147" s="25"/>
      <c r="B1147" s="25"/>
      <c r="C1147" s="25"/>
      <c r="D1147" s="25"/>
      <c r="E1147" s="24"/>
    </row>
    <row r="1148" spans="1:5">
      <c r="A1148" s="25"/>
      <c r="B1148" s="25"/>
      <c r="C1148" s="25"/>
      <c r="D1148" s="25"/>
      <c r="E1148" s="24"/>
    </row>
    <row r="1149" spans="1:5">
      <c r="A1149" s="25">
        <v>65</v>
      </c>
      <c r="B1149" s="25">
        <v>102</v>
      </c>
      <c r="C1149" s="25"/>
      <c r="D1149" s="25"/>
      <c r="E1149" s="24"/>
    </row>
    <row r="1150" spans="1:5">
      <c r="A1150" s="25">
        <v>103.94</v>
      </c>
      <c r="B1150" s="25">
        <v>7.0640000000000001</v>
      </c>
      <c r="C1150" s="25"/>
      <c r="D1150" s="25"/>
      <c r="E1150" s="24"/>
    </row>
    <row r="1151" spans="1:5">
      <c r="A1151" s="25"/>
      <c r="B1151" s="25">
        <f>100000*B1150/((((A1150/2)^2)*3.1415926)*B1149)</f>
        <v>0.81619742421244168</v>
      </c>
      <c r="C1151" s="25"/>
      <c r="D1151" s="25"/>
      <c r="E1151" s="24"/>
    </row>
    <row r="1152" spans="1:5">
      <c r="A1152" s="25"/>
      <c r="B1152" s="25"/>
      <c r="C1152" s="25"/>
      <c r="D1152" s="25"/>
      <c r="E1152" s="24"/>
    </row>
    <row r="1153" spans="1:5">
      <c r="A1153" s="25"/>
      <c r="B1153" s="25"/>
      <c r="C1153" s="25"/>
      <c r="D1153" s="25"/>
      <c r="E1153" s="24"/>
    </row>
    <row r="1154" spans="1:5">
      <c r="A1154" s="25"/>
      <c r="B1154" s="25"/>
      <c r="C1154" s="25"/>
      <c r="D1154" s="25"/>
      <c r="E1154" s="24"/>
    </row>
    <row r="1155" spans="1:5">
      <c r="A1155" s="25"/>
      <c r="B1155" s="25"/>
      <c r="C1155" s="25"/>
      <c r="D1155" s="25"/>
      <c r="E1155" s="24"/>
    </row>
    <row r="1156" spans="1:5">
      <c r="A1156" s="25"/>
      <c r="B1156" s="25"/>
      <c r="C1156" s="25"/>
      <c r="D1156" s="25"/>
      <c r="E1156" s="24"/>
    </row>
    <row r="1157" spans="1:5">
      <c r="A1157" s="25"/>
      <c r="B1157" s="25"/>
      <c r="C1157" s="25"/>
      <c r="D1157" s="25"/>
      <c r="E1157" s="24"/>
    </row>
    <row r="1158" spans="1:5">
      <c r="A1158" s="25">
        <v>66</v>
      </c>
      <c r="B1158" s="25">
        <v>103.5</v>
      </c>
      <c r="C1158" s="25"/>
      <c r="D1158" s="25"/>
      <c r="E1158" s="24"/>
    </row>
    <row r="1159" spans="1:5">
      <c r="A1159" s="25">
        <v>104.07</v>
      </c>
      <c r="B1159" s="25">
        <v>7.2279999999999998</v>
      </c>
      <c r="C1159" s="25"/>
      <c r="D1159" s="25"/>
      <c r="E1159" s="24"/>
    </row>
    <row r="1160" spans="1:5">
      <c r="A1160" s="25"/>
      <c r="B1160" s="25">
        <f>100000*B1159/((((A1159/2)^2)*3.1415926)*B1158)</f>
        <v>0.82098800326916577</v>
      </c>
      <c r="C1160" s="25"/>
      <c r="D1160" s="25"/>
      <c r="E1160" s="24"/>
    </row>
    <row r="1161" spans="1:5">
      <c r="A1161" s="25"/>
      <c r="B1161" s="25"/>
      <c r="C1161" s="25"/>
      <c r="D1161" s="25"/>
      <c r="E1161" s="24"/>
    </row>
    <row r="1162" spans="1:5">
      <c r="A1162" s="25"/>
      <c r="B1162" s="25"/>
      <c r="C1162" s="25"/>
      <c r="D1162" s="25"/>
      <c r="E1162" s="24"/>
    </row>
    <row r="1163" spans="1:5">
      <c r="A1163" s="25"/>
      <c r="B1163" s="25"/>
      <c r="C1163" s="25"/>
      <c r="D1163" s="25"/>
      <c r="E1163" s="24"/>
    </row>
    <row r="1164" spans="1:5">
      <c r="A1164" s="25"/>
      <c r="B1164" s="25"/>
      <c r="C1164" s="25"/>
      <c r="D1164" s="25"/>
      <c r="E1164" s="24"/>
    </row>
    <row r="1165" spans="1:5">
      <c r="A1165" s="25"/>
      <c r="B1165" s="25"/>
      <c r="C1165" s="25"/>
      <c r="D1165" s="25"/>
      <c r="E1165" s="24"/>
    </row>
    <row r="1166" spans="1:5">
      <c r="A1166" s="25"/>
      <c r="B1166" s="25"/>
      <c r="C1166" s="25"/>
      <c r="D1166" s="25"/>
      <c r="E1166" s="24"/>
    </row>
    <row r="1167" spans="1:5">
      <c r="A1167" s="25"/>
      <c r="B1167" s="25"/>
      <c r="C1167" s="25"/>
      <c r="D1167" s="25"/>
      <c r="E1167" s="24"/>
    </row>
    <row r="1168" spans="1:5">
      <c r="A1168" s="25">
        <v>67</v>
      </c>
      <c r="B1168" s="25">
        <v>98</v>
      </c>
      <c r="C1168" s="25"/>
      <c r="D1168" s="25"/>
      <c r="E1168" s="24"/>
    </row>
    <row r="1169" spans="1:5">
      <c r="A1169" s="25">
        <v>103.88</v>
      </c>
      <c r="B1169" s="25">
        <v>6.7770000000000001</v>
      </c>
      <c r="C1169" s="25"/>
      <c r="D1169" s="25"/>
      <c r="E1169" s="24"/>
    </row>
    <row r="1170" spans="1:5">
      <c r="A1170" s="25"/>
      <c r="B1170" s="25">
        <f>100000*B1169/((((A1169/2)^2)*3.1415926)*B1168)</f>
        <v>0.81593892893780851</v>
      </c>
      <c r="C1170" s="25"/>
      <c r="D1170" s="25"/>
      <c r="E1170" s="24"/>
    </row>
    <row r="1171" spans="1:5">
      <c r="A1171" s="25"/>
      <c r="B1171" s="25"/>
      <c r="C1171" s="25"/>
      <c r="D1171" s="25"/>
      <c r="E1171" s="24"/>
    </row>
    <row r="1172" spans="1:5">
      <c r="A1172" s="25"/>
      <c r="B1172" s="25"/>
      <c r="C1172" s="25"/>
      <c r="D1172" s="25"/>
      <c r="E1172" s="24"/>
    </row>
    <row r="1173" spans="1:5">
      <c r="A1173" s="25"/>
      <c r="B1173" s="25"/>
      <c r="C1173" s="25"/>
      <c r="D1173" s="25"/>
      <c r="E1173" s="24"/>
    </row>
    <row r="1174" spans="1:5">
      <c r="A1174" s="25">
        <v>68</v>
      </c>
      <c r="B1174" s="25">
        <v>101</v>
      </c>
      <c r="C1174" s="25"/>
      <c r="D1174" s="25"/>
      <c r="E1174" s="24"/>
    </row>
    <row r="1175" spans="1:5">
      <c r="A1175" s="25">
        <v>103.62</v>
      </c>
      <c r="B1175" s="25">
        <v>7.0069999999999997</v>
      </c>
      <c r="C1175" s="25"/>
      <c r="D1175" s="25"/>
      <c r="E1175" s="24"/>
    </row>
    <row r="1176" spans="1:5">
      <c r="A1176" s="25"/>
      <c r="B1176" s="25">
        <f>100000*B1175/((((A1175/2)^2)*3.1415926)*B1174)</f>
        <v>0.82268521776046888</v>
      </c>
      <c r="C1176" s="25"/>
      <c r="D1176" s="25"/>
      <c r="E1176" s="24"/>
    </row>
    <row r="1177" spans="1:5">
      <c r="A1177" s="25"/>
      <c r="B1177" s="25"/>
      <c r="C1177" s="25"/>
      <c r="D1177" s="25"/>
      <c r="E1177" s="24"/>
    </row>
    <row r="1178" spans="1:5">
      <c r="A1178" s="25"/>
      <c r="B1178" s="25"/>
      <c r="C1178" s="25"/>
      <c r="D1178" s="25"/>
      <c r="E1178" s="24"/>
    </row>
    <row r="1179" spans="1:5">
      <c r="A1179" s="25"/>
      <c r="B1179" s="25"/>
      <c r="C1179" s="25"/>
      <c r="D1179" s="25"/>
      <c r="E1179" s="24"/>
    </row>
    <row r="1180" spans="1:5">
      <c r="A1180" s="25"/>
      <c r="B1180" s="25"/>
      <c r="C1180" s="25"/>
      <c r="D1180" s="25"/>
      <c r="E1180" s="24"/>
    </row>
    <row r="1181" spans="1:5">
      <c r="A1181" s="25"/>
      <c r="B1181" s="25"/>
      <c r="C1181" s="25"/>
      <c r="D1181" s="25"/>
      <c r="E1181" s="24"/>
    </row>
    <row r="1182" spans="1:5">
      <c r="A1182" s="25"/>
      <c r="B1182" s="25"/>
      <c r="C1182" s="25"/>
      <c r="D1182" s="25"/>
      <c r="E1182" s="24"/>
    </row>
    <row r="1183" spans="1:5">
      <c r="A1183" s="25"/>
      <c r="B1183" s="25"/>
      <c r="C1183" s="25"/>
      <c r="D1183" s="25"/>
      <c r="E1183" s="24"/>
    </row>
    <row r="1184" spans="1:5">
      <c r="A1184" s="25"/>
      <c r="B1184" s="25"/>
      <c r="C1184" s="25"/>
      <c r="D1184" s="25"/>
      <c r="E1184" s="24"/>
    </row>
    <row r="1185" spans="1:5">
      <c r="A1185" s="25"/>
      <c r="B1185" s="25"/>
      <c r="C1185" s="25"/>
      <c r="D1185" s="25"/>
      <c r="E1185" s="24"/>
    </row>
    <row r="1186" spans="1:5">
      <c r="A1186" s="25"/>
      <c r="B1186" s="25"/>
      <c r="C1186" s="25"/>
      <c r="D1186" s="25"/>
      <c r="E1186" s="24"/>
    </row>
    <row r="1187" spans="1:5">
      <c r="A1187" s="25">
        <v>69</v>
      </c>
      <c r="B1187" s="25">
        <v>96</v>
      </c>
      <c r="C1187" s="25"/>
      <c r="D1187" s="25"/>
      <c r="E1187" s="24"/>
    </row>
    <row r="1188" spans="1:5">
      <c r="A1188" s="25">
        <v>103.64</v>
      </c>
      <c r="B1188" s="25">
        <v>6.6280000000000001</v>
      </c>
      <c r="C1188" s="25"/>
      <c r="D1188" s="25"/>
      <c r="E1188" s="24"/>
    </row>
    <row r="1189" spans="1:5">
      <c r="A1189" s="25"/>
      <c r="B1189" s="25">
        <f>100000*B1188/((((A1188/2)^2)*3.1415926)*B1187)</f>
        <v>0.81840181550150504</v>
      </c>
      <c r="C1189" s="25"/>
      <c r="D1189" s="25"/>
      <c r="E1189" s="24"/>
    </row>
    <row r="1190" spans="1:5">
      <c r="A1190" s="25"/>
      <c r="B1190" s="25"/>
      <c r="C1190" s="25"/>
      <c r="D1190" s="25"/>
      <c r="E1190" s="24"/>
    </row>
    <row r="1191" spans="1:5">
      <c r="A1191" s="25"/>
      <c r="B1191" s="25"/>
      <c r="C1191" s="25"/>
      <c r="D1191" s="25"/>
      <c r="E1191" s="24"/>
    </row>
    <row r="1192" spans="1:5">
      <c r="A1192" s="25"/>
      <c r="B1192" s="25"/>
      <c r="C1192" s="25"/>
      <c r="D1192" s="25"/>
      <c r="E1192" s="24"/>
    </row>
    <row r="1193" spans="1:5">
      <c r="A1193" s="25"/>
      <c r="B1193" s="25"/>
      <c r="C1193" s="25"/>
      <c r="D1193" s="25"/>
      <c r="E1193" s="24"/>
    </row>
    <row r="1194" spans="1:5">
      <c r="A1194" s="25"/>
      <c r="B1194" s="25"/>
      <c r="C1194" s="25"/>
      <c r="D1194" s="25"/>
      <c r="E1194" s="24"/>
    </row>
    <row r="1195" spans="1:5">
      <c r="A1195" s="25"/>
      <c r="B1195" s="25"/>
      <c r="C1195" s="25"/>
      <c r="D1195" s="25"/>
      <c r="E1195" s="24"/>
    </row>
    <row r="1196" spans="1:5">
      <c r="A1196" s="25"/>
      <c r="B1196" s="25"/>
      <c r="C1196" s="25"/>
      <c r="D1196" s="25"/>
      <c r="E1196" s="24"/>
    </row>
    <row r="1197" spans="1:5">
      <c r="A1197" s="25"/>
      <c r="B1197" s="25"/>
      <c r="C1197" s="25"/>
      <c r="D1197" s="25"/>
      <c r="E1197" s="24"/>
    </row>
    <row r="1198" spans="1:5">
      <c r="A1198" s="25">
        <v>70</v>
      </c>
      <c r="B1198" s="25">
        <v>100.5</v>
      </c>
      <c r="C1198" s="25"/>
      <c r="D1198" s="25"/>
      <c r="E1198" s="24"/>
    </row>
    <row r="1199" spans="1:5">
      <c r="A1199" s="25">
        <v>103.56</v>
      </c>
      <c r="B1199" s="25">
        <v>7.0430000000000001</v>
      </c>
      <c r="C1199" s="25"/>
      <c r="D1199" s="25"/>
      <c r="E1199" s="24"/>
    </row>
    <row r="1200" spans="1:5">
      <c r="A1200" s="25"/>
      <c r="B1200" s="25">
        <f>100000*B1199/((((A1199/2)^2)*3.1415926)*B1198)</f>
        <v>0.83198916240304055</v>
      </c>
      <c r="C1200" s="25"/>
      <c r="D1200" s="25"/>
      <c r="E1200" s="24"/>
    </row>
    <row r="1201" spans="1:5">
      <c r="A1201" s="25"/>
      <c r="B1201" s="25"/>
      <c r="C1201" s="25"/>
      <c r="D1201" s="25"/>
      <c r="E1201" s="24"/>
    </row>
    <row r="1202" spans="1:5">
      <c r="A1202" s="25"/>
      <c r="B1202" s="25"/>
      <c r="C1202" s="25"/>
      <c r="D1202" s="25"/>
      <c r="E1202" s="24"/>
    </row>
    <row r="1203" spans="1:5">
      <c r="A1203" s="25"/>
      <c r="B1203" s="25"/>
      <c r="C1203" s="25"/>
      <c r="D1203" s="25"/>
      <c r="E1203" s="24"/>
    </row>
    <row r="1204" spans="1:5">
      <c r="A1204" s="25">
        <v>71</v>
      </c>
      <c r="B1204" s="25">
        <v>102</v>
      </c>
      <c r="C1204" s="25"/>
      <c r="D1204" s="25"/>
      <c r="E1204" s="24"/>
    </row>
    <row r="1205" spans="1:5">
      <c r="A1205" s="25">
        <v>103.9</v>
      </c>
      <c r="B1205" s="25">
        <v>7.1180000000000003</v>
      </c>
      <c r="C1205" s="25"/>
      <c r="D1205" s="25"/>
      <c r="E1205" s="24"/>
    </row>
    <row r="1206" spans="1:5">
      <c r="A1206" s="25"/>
      <c r="B1206" s="25">
        <f>100000*B1205/((((A1205/2)^2)*3.1415926)*B1204)</f>
        <v>0.82307013344949442</v>
      </c>
      <c r="C1206" s="25"/>
      <c r="D1206" s="25"/>
      <c r="E1206" s="24"/>
    </row>
    <row r="1207" spans="1:5">
      <c r="A1207" s="25"/>
      <c r="B1207" s="25"/>
      <c r="C1207" s="25"/>
      <c r="D1207" s="25"/>
      <c r="E1207" s="24"/>
    </row>
    <row r="1208" spans="1:5">
      <c r="A1208" s="25"/>
      <c r="B1208" s="25"/>
      <c r="C1208" s="25"/>
      <c r="D1208" s="25"/>
      <c r="E1208" s="24"/>
    </row>
    <row r="1209" spans="1:5">
      <c r="A1209" s="25"/>
      <c r="B1209" s="25"/>
      <c r="C1209" s="25"/>
      <c r="D1209" s="25"/>
      <c r="E1209" s="24"/>
    </row>
    <row r="1210" spans="1:5">
      <c r="A1210" s="25"/>
      <c r="B1210" s="25"/>
      <c r="C1210" s="25"/>
      <c r="D1210" s="25"/>
      <c r="E1210" s="24"/>
    </row>
    <row r="1211" spans="1:5">
      <c r="A1211" s="25"/>
      <c r="B1211" s="25"/>
      <c r="C1211" s="25"/>
      <c r="D1211" s="25"/>
      <c r="E1211" s="24"/>
    </row>
    <row r="1212" spans="1:5">
      <c r="A1212" s="25">
        <v>72</v>
      </c>
      <c r="B1212" s="25">
        <v>100.5</v>
      </c>
      <c r="C1212" s="25"/>
      <c r="D1212" s="25"/>
      <c r="E1212" s="24"/>
    </row>
    <row r="1213" spans="1:5">
      <c r="A1213" s="25">
        <v>104.08</v>
      </c>
      <c r="B1213" s="25">
        <v>7.0049999999999999</v>
      </c>
      <c r="C1213" s="25"/>
      <c r="D1213" s="25"/>
      <c r="E1213" s="24"/>
    </row>
    <row r="1214" spans="1:5">
      <c r="A1214" s="25"/>
      <c r="B1214" s="25">
        <f>100000*B1213/((((A1213/2)^2)*3.1415926)*B1212)</f>
        <v>0.81925223867203645</v>
      </c>
      <c r="C1214" s="25"/>
      <c r="D1214" s="25"/>
      <c r="E1214" s="24"/>
    </row>
    <row r="1215" spans="1:5">
      <c r="A1215" s="25"/>
      <c r="B1215" s="25"/>
      <c r="C1215" s="25"/>
      <c r="D1215" s="25"/>
      <c r="E1215" s="24"/>
    </row>
    <row r="1216" spans="1:5">
      <c r="A1216" s="25"/>
      <c r="B1216" s="25"/>
      <c r="C1216" s="25"/>
      <c r="D1216" s="25"/>
      <c r="E1216" s="24"/>
    </row>
    <row r="1217" spans="1:5">
      <c r="A1217" s="25"/>
      <c r="B1217" s="25"/>
      <c r="C1217" s="25"/>
      <c r="D1217" s="25"/>
      <c r="E1217" s="24"/>
    </row>
    <row r="1218" spans="1:5">
      <c r="A1218" s="25"/>
      <c r="B1218" s="25"/>
      <c r="C1218" s="25"/>
      <c r="D1218" s="25"/>
      <c r="E1218" s="24"/>
    </row>
    <row r="1219" spans="1:5">
      <c r="A1219" s="25"/>
      <c r="B1219" s="25"/>
      <c r="C1219" s="25"/>
      <c r="D1219" s="25"/>
      <c r="E1219" s="24"/>
    </row>
    <row r="1220" spans="1:5">
      <c r="A1220" s="25">
        <v>73</v>
      </c>
      <c r="B1220" s="25">
        <v>101.5</v>
      </c>
      <c r="C1220" s="25"/>
      <c r="D1220" s="25"/>
      <c r="E1220" s="24"/>
    </row>
    <row r="1221" spans="1:5">
      <c r="A1221" s="25">
        <v>103.94</v>
      </c>
      <c r="B1221" s="25">
        <v>7.1340000000000003</v>
      </c>
      <c r="C1221" s="25"/>
      <c r="D1221" s="25"/>
      <c r="E1221" s="24"/>
    </row>
    <row r="1222" spans="1:5">
      <c r="A1222" s="25"/>
      <c r="B1222" s="25">
        <f>100000*B1221/((((A1221/2)^2)*3.1415926)*B1220)</f>
        <v>0.82834597024504886</v>
      </c>
      <c r="C1222" s="25"/>
      <c r="D1222" s="25"/>
      <c r="E1222" s="24"/>
    </row>
    <row r="1223" spans="1:5">
      <c r="A1223" s="25"/>
      <c r="B1223" s="25"/>
      <c r="C1223" s="25"/>
      <c r="D1223" s="25"/>
      <c r="E1223" s="24"/>
    </row>
    <row r="1224" spans="1:5">
      <c r="A1224" s="25"/>
      <c r="B1224" s="25"/>
      <c r="C1224" s="25"/>
      <c r="D1224" s="25"/>
      <c r="E1224" s="24"/>
    </row>
    <row r="1225" spans="1:5">
      <c r="A1225" s="25">
        <v>74</v>
      </c>
      <c r="B1225" s="25">
        <v>101</v>
      </c>
      <c r="C1225" s="25"/>
      <c r="D1225" s="25"/>
      <c r="E1225" s="24"/>
    </row>
    <row r="1226" spans="1:5">
      <c r="A1226" s="25">
        <v>103.85</v>
      </c>
      <c r="B1226" s="25">
        <v>7.1449999999999996</v>
      </c>
      <c r="C1226" s="25"/>
      <c r="D1226" s="25"/>
      <c r="E1226" s="24"/>
    </row>
    <row r="1227" spans="1:5">
      <c r="A1227" s="25"/>
      <c r="B1227" s="25">
        <f>100000*B1226/((((A1226/2)^2)*3.1415926)*B1225)</f>
        <v>0.83517595748455808</v>
      </c>
      <c r="C1227" s="25"/>
      <c r="D1227" s="25"/>
      <c r="E1227" s="24"/>
    </row>
    <row r="1228" spans="1:5">
      <c r="A1228" s="25"/>
      <c r="B1228" s="25"/>
      <c r="C1228" s="25"/>
      <c r="D1228" s="25"/>
      <c r="E1228" s="24"/>
    </row>
    <row r="1229" spans="1:5">
      <c r="A1229" s="25"/>
      <c r="B1229" s="25"/>
      <c r="C1229" s="25"/>
      <c r="D1229" s="25"/>
      <c r="E1229" s="24"/>
    </row>
    <row r="1230" spans="1:5">
      <c r="A1230" s="25"/>
      <c r="B1230" s="25"/>
      <c r="C1230" s="25"/>
      <c r="D1230" s="25"/>
      <c r="E1230" s="24"/>
    </row>
    <row r="1231" spans="1:5">
      <c r="A1231" s="25"/>
      <c r="B1231" s="25"/>
      <c r="C1231" s="25"/>
      <c r="D1231" s="25"/>
      <c r="E1231" s="24"/>
    </row>
    <row r="1232" spans="1:5">
      <c r="A1232" s="25">
        <v>75</v>
      </c>
      <c r="B1232" s="25">
        <v>100</v>
      </c>
      <c r="C1232" s="25"/>
      <c r="D1232" s="25"/>
      <c r="E1232" s="24"/>
    </row>
    <row r="1233" spans="1:5">
      <c r="A1233" s="25">
        <v>103.9</v>
      </c>
      <c r="B1233" s="25">
        <v>7.0839999999999996</v>
      </c>
      <c r="C1233" s="25"/>
      <c r="D1233" s="25"/>
      <c r="E1233" s="24"/>
    </row>
    <row r="1234" spans="1:5">
      <c r="A1234" s="25"/>
      <c r="B1234" s="25">
        <f>100000*B1233/((((A1233/2)^2)*3.1415926)*B1232)</f>
        <v>0.83552141077034869</v>
      </c>
      <c r="C1234" s="25"/>
      <c r="D1234" s="25"/>
      <c r="E1234" s="24"/>
    </row>
    <row r="1235" spans="1:5">
      <c r="A1235" s="25"/>
      <c r="B1235" s="25"/>
      <c r="C1235" s="25"/>
      <c r="D1235" s="25"/>
      <c r="E1235" s="24"/>
    </row>
    <row r="1236" spans="1:5">
      <c r="A1236" s="25"/>
      <c r="B1236" s="25"/>
      <c r="C1236" s="25"/>
      <c r="D1236" s="25"/>
      <c r="E1236" s="24"/>
    </row>
    <row r="1237" spans="1:5">
      <c r="A1237" s="25"/>
      <c r="B1237" s="25"/>
      <c r="C1237" s="25"/>
      <c r="D1237" s="25"/>
      <c r="E1237" s="24"/>
    </row>
    <row r="1238" spans="1:5">
      <c r="A1238" s="25"/>
      <c r="B1238" s="25"/>
      <c r="C1238" s="25"/>
      <c r="D1238" s="25"/>
      <c r="E1238" s="24"/>
    </row>
    <row r="1239" spans="1:5">
      <c r="A1239" s="25"/>
      <c r="B1239" s="25"/>
      <c r="C1239" s="25"/>
      <c r="D1239" s="25"/>
      <c r="E1239" s="24"/>
    </row>
    <row r="1240" spans="1:5">
      <c r="A1240" s="25"/>
      <c r="B1240" s="25"/>
      <c r="C1240" s="25"/>
      <c r="D1240" s="25"/>
      <c r="E1240" s="24"/>
    </row>
    <row r="1241" spans="1:5">
      <c r="A1241" s="25">
        <v>76</v>
      </c>
      <c r="B1241" s="25">
        <v>102</v>
      </c>
      <c r="C1241" s="25"/>
      <c r="D1241" s="25"/>
      <c r="E1241" s="24"/>
    </row>
    <row r="1242" spans="1:5">
      <c r="A1242" s="25">
        <v>103.86</v>
      </c>
      <c r="B1242" s="25">
        <v>7.2789999999999999</v>
      </c>
      <c r="C1242" s="25"/>
      <c r="D1242" s="25"/>
      <c r="E1242" s="24"/>
    </row>
    <row r="1243" spans="1:5">
      <c r="A1243" s="25"/>
      <c r="B1243" s="25">
        <f>100000*B1242/((((A1242/2)^2)*3.1415926)*B1241)</f>
        <v>0.84233536974438239</v>
      </c>
      <c r="C1243" s="25"/>
      <c r="D1243" s="25"/>
      <c r="E1243" s="24"/>
    </row>
    <row r="1244" spans="1:5">
      <c r="A1244" s="25"/>
      <c r="B1244" s="25"/>
      <c r="C1244" s="25"/>
      <c r="D1244" s="25"/>
      <c r="E1244" s="24"/>
    </row>
    <row r="1245" spans="1:5">
      <c r="A1245" s="25"/>
      <c r="B1245" s="25"/>
      <c r="C1245" s="25"/>
      <c r="D1245" s="25"/>
      <c r="E1245" s="24"/>
    </row>
    <row r="1246" spans="1:5">
      <c r="A1246" s="25"/>
      <c r="B1246" s="25"/>
      <c r="C1246" s="25"/>
      <c r="D1246" s="25"/>
      <c r="E1246" s="24"/>
    </row>
    <row r="1247" spans="1:5">
      <c r="A1247" s="25"/>
      <c r="B1247" s="25"/>
      <c r="C1247" s="25"/>
      <c r="D1247" s="25"/>
      <c r="E1247" s="24"/>
    </row>
    <row r="1248" spans="1:5">
      <c r="A1248" s="25"/>
      <c r="B1248" s="25"/>
      <c r="C1248" s="25"/>
      <c r="D1248" s="25"/>
      <c r="E1248" s="24"/>
    </row>
    <row r="1249" spans="1:5">
      <c r="A1249" s="25">
        <v>77</v>
      </c>
      <c r="B1249" s="25">
        <v>98</v>
      </c>
      <c r="C1249" s="25"/>
      <c r="D1249" s="25"/>
      <c r="E1249" s="24"/>
    </row>
    <row r="1250" spans="1:5">
      <c r="A1250" s="25">
        <v>103.9</v>
      </c>
      <c r="B1250" s="25">
        <v>7.024</v>
      </c>
      <c r="C1250" s="25"/>
      <c r="D1250" s="25"/>
      <c r="E1250" s="24"/>
    </row>
    <row r="1251" spans="1:5">
      <c r="A1251" s="25"/>
      <c r="B1251" s="25">
        <f>100000*B1250/((((A1250/2)^2)*3.1415926)*B1249)</f>
        <v>0.84535175406073615</v>
      </c>
      <c r="C1251" s="25"/>
      <c r="D1251" s="25"/>
      <c r="E1251" s="24"/>
    </row>
    <row r="1252" spans="1:5">
      <c r="A1252" s="25"/>
      <c r="B1252" s="25"/>
      <c r="C1252" s="25"/>
      <c r="D1252" s="25"/>
      <c r="E1252" s="24"/>
    </row>
    <row r="1253" spans="1:5">
      <c r="A1253" s="25"/>
      <c r="B1253" s="25"/>
      <c r="C1253" s="25"/>
      <c r="D1253" s="25"/>
      <c r="E1253" s="24"/>
    </row>
    <row r="1254" spans="1:5">
      <c r="A1254" s="25"/>
      <c r="B1254" s="25"/>
      <c r="C1254" s="25"/>
      <c r="D1254" s="25"/>
      <c r="E1254" s="24"/>
    </row>
    <row r="1255" spans="1:5">
      <c r="A1255" s="25"/>
      <c r="B1255" s="25"/>
      <c r="C1255" s="25"/>
      <c r="D1255" s="25"/>
      <c r="E1255" s="24"/>
    </row>
    <row r="1256" spans="1:5">
      <c r="A1256" s="25"/>
      <c r="B1256" s="25"/>
      <c r="C1256" s="25"/>
      <c r="D1256" s="25"/>
      <c r="E1256" s="24"/>
    </row>
    <row r="1257" spans="1:5">
      <c r="A1257" s="25"/>
      <c r="B1257" s="25"/>
      <c r="C1257" s="25"/>
      <c r="D1257" s="25"/>
      <c r="E1257" s="24"/>
    </row>
    <row r="1258" spans="1:5">
      <c r="A1258" s="25">
        <v>78</v>
      </c>
      <c r="B1258" s="25">
        <v>99.5</v>
      </c>
      <c r="C1258" s="25"/>
      <c r="D1258" s="25"/>
      <c r="E1258" s="24"/>
    </row>
    <row r="1259" spans="1:5">
      <c r="A1259" s="25">
        <v>103.95</v>
      </c>
      <c r="B1259" s="25">
        <v>7.1660000000000004</v>
      </c>
      <c r="C1259" s="25"/>
      <c r="D1259" s="25"/>
      <c r="E1259" s="24"/>
    </row>
    <row r="1260" spans="1:5">
      <c r="A1260" s="25"/>
      <c r="B1260" s="25">
        <f>100000*B1259/((((A1259/2)^2)*3.1415926)*B1258)</f>
        <v>0.84862312434511022</v>
      </c>
      <c r="C1260" s="25"/>
      <c r="D1260" s="25"/>
      <c r="E1260" s="24"/>
    </row>
    <row r="1261" spans="1:5">
      <c r="A1261" s="25"/>
      <c r="B1261" s="25"/>
      <c r="C1261" s="25"/>
      <c r="D1261" s="25"/>
      <c r="E1261" s="24"/>
    </row>
    <row r="1262" spans="1:5">
      <c r="A1262" s="25"/>
      <c r="B1262" s="25"/>
      <c r="C1262" s="25"/>
      <c r="D1262" s="25"/>
      <c r="E1262" s="24"/>
    </row>
    <row r="1263" spans="1:5">
      <c r="A1263" s="25"/>
      <c r="B1263" s="25"/>
      <c r="C1263" s="25"/>
      <c r="D1263" s="25"/>
      <c r="E1263" s="24"/>
    </row>
    <row r="1264" spans="1:5">
      <c r="A1264" s="25"/>
      <c r="B1264" s="25"/>
      <c r="C1264" s="25"/>
      <c r="D1264" s="25"/>
      <c r="E1264" s="24"/>
    </row>
    <row r="1265" spans="1:5">
      <c r="A1265" s="25"/>
      <c r="B1265" s="25"/>
      <c r="C1265" s="25"/>
      <c r="D1265" s="25"/>
      <c r="E1265" s="24"/>
    </row>
    <row r="1266" spans="1:5">
      <c r="A1266" s="25"/>
      <c r="B1266" s="25"/>
      <c r="C1266" s="25"/>
      <c r="D1266" s="25"/>
      <c r="E1266" s="24"/>
    </row>
    <row r="1267" spans="1:5">
      <c r="A1267" s="25"/>
      <c r="B1267" s="25"/>
      <c r="C1267" s="25"/>
      <c r="D1267" s="25"/>
      <c r="E1267" s="24"/>
    </row>
    <row r="1268" spans="1:5">
      <c r="A1268" s="25"/>
      <c r="B1268" s="25"/>
      <c r="C1268" s="25"/>
      <c r="D1268" s="25"/>
      <c r="E1268" s="24"/>
    </row>
    <row r="1269" spans="1:5">
      <c r="A1269" s="25">
        <v>79</v>
      </c>
      <c r="B1269" s="25">
        <v>99</v>
      </c>
      <c r="C1269" s="25"/>
      <c r="D1269" s="25"/>
      <c r="E1269" s="24"/>
    </row>
    <row r="1270" spans="1:5">
      <c r="A1270" s="25">
        <v>103.69</v>
      </c>
      <c r="B1270" s="25">
        <v>7.0949999999999998</v>
      </c>
      <c r="C1270" s="25"/>
      <c r="D1270" s="25"/>
      <c r="E1270" s="24"/>
    </row>
    <row r="1271" spans="1:5">
      <c r="A1271" s="25"/>
      <c r="B1271" s="25">
        <f>100000*B1270/((((A1270/2)^2)*3.1415926)*B1269)</f>
        <v>0.84869878860249359</v>
      </c>
      <c r="C1271" s="25"/>
      <c r="D1271" s="25"/>
      <c r="E1271" s="24"/>
    </row>
    <row r="1272" spans="1:5">
      <c r="A1272" s="25"/>
      <c r="B1272" s="25"/>
      <c r="C1272" s="25"/>
      <c r="D1272" s="25"/>
      <c r="E1272" s="24"/>
    </row>
    <row r="1273" spans="1:5">
      <c r="A1273" s="25"/>
      <c r="B1273" s="25"/>
      <c r="C1273" s="25"/>
      <c r="D1273" s="25"/>
      <c r="E1273" s="24"/>
    </row>
    <row r="1274" spans="1:5">
      <c r="A1274" s="25"/>
      <c r="B1274" s="25"/>
      <c r="C1274" s="25"/>
      <c r="D1274" s="25"/>
      <c r="E1274" s="24"/>
    </row>
    <row r="1275" spans="1:5">
      <c r="A1275" s="25"/>
      <c r="B1275" s="25"/>
      <c r="C1275" s="25"/>
      <c r="D1275" s="25"/>
      <c r="E1275" s="24"/>
    </row>
    <row r="1276" spans="1:5">
      <c r="A1276" s="25"/>
      <c r="B1276" s="25"/>
      <c r="C1276" s="25"/>
      <c r="D1276" s="25"/>
      <c r="E1276" s="24"/>
    </row>
    <row r="1277" spans="1:5">
      <c r="A1277" s="25"/>
      <c r="B1277" s="25"/>
      <c r="C1277" s="25"/>
      <c r="D1277" s="25"/>
      <c r="E1277" s="24"/>
    </row>
    <row r="1278" spans="1:5">
      <c r="A1278" s="25"/>
      <c r="B1278" s="25"/>
      <c r="C1278" s="25"/>
      <c r="D1278" s="25"/>
      <c r="E1278" s="24"/>
    </row>
    <row r="1279" spans="1:5">
      <c r="A1279" s="25">
        <v>80</v>
      </c>
      <c r="B1279" s="25">
        <v>102</v>
      </c>
      <c r="C1279" s="25"/>
      <c r="D1279" s="25"/>
      <c r="E1279" s="24"/>
    </row>
    <row r="1280" spans="1:5">
      <c r="A1280" s="25">
        <v>104.03</v>
      </c>
      <c r="B1280" s="25">
        <v>7.1980000000000004</v>
      </c>
      <c r="C1280" s="25"/>
      <c r="D1280" s="25"/>
      <c r="E1280" s="24"/>
    </row>
    <row r="1281" spans="1:5">
      <c r="A1281" s="25"/>
      <c r="B1281" s="25">
        <f>100000*B1280/((((A1280/2)^2)*3.1415926)*B1279)</f>
        <v>0.83024180898579369</v>
      </c>
      <c r="C1281" s="25"/>
      <c r="D1281" s="25"/>
      <c r="E1281" s="24"/>
    </row>
    <row r="1282" spans="1:5">
      <c r="A1282" s="25"/>
      <c r="B1282" s="25"/>
      <c r="C1282" s="25"/>
      <c r="D1282" s="25"/>
      <c r="E1282" s="24"/>
    </row>
    <row r="1283" spans="1:5">
      <c r="A1283" s="25"/>
      <c r="B1283" s="25"/>
      <c r="C1283" s="25"/>
      <c r="D1283" s="25"/>
      <c r="E1283" s="24"/>
    </row>
    <row r="1284" spans="1:5">
      <c r="A1284" s="25"/>
      <c r="B1284" s="25"/>
      <c r="C1284" s="25"/>
      <c r="D1284" s="25"/>
      <c r="E1284" s="24"/>
    </row>
    <row r="1285" spans="1:5">
      <c r="A1285" s="25"/>
      <c r="B1285" s="25"/>
      <c r="C1285" s="25"/>
      <c r="D1285" s="25"/>
      <c r="E1285" s="24"/>
    </row>
    <row r="1286" spans="1:5">
      <c r="A1286" s="25"/>
      <c r="B1286" s="25"/>
      <c r="C1286" s="25"/>
      <c r="D1286" s="25"/>
      <c r="E1286" s="24"/>
    </row>
    <row r="1287" spans="1:5">
      <c r="A1287" s="25"/>
      <c r="B1287" s="25"/>
      <c r="C1287" s="25"/>
      <c r="D1287" s="25"/>
      <c r="E1287" s="24"/>
    </row>
    <row r="1288" spans="1:5">
      <c r="A1288" s="25"/>
      <c r="B1288" s="25"/>
      <c r="C1288" s="25"/>
      <c r="D1288" s="25"/>
      <c r="E1288" s="24"/>
    </row>
    <row r="1289" spans="1:5">
      <c r="A1289" s="25"/>
      <c r="B1289" s="25"/>
      <c r="C1289" s="25"/>
      <c r="D1289" s="25"/>
      <c r="E1289" s="24"/>
    </row>
    <row r="1290" spans="1:5">
      <c r="A1290" s="25"/>
      <c r="B1290" s="25"/>
      <c r="C1290" s="25"/>
      <c r="D1290" s="25"/>
      <c r="E1290" s="24"/>
    </row>
    <row r="1291" spans="1:5">
      <c r="A1291" s="25"/>
      <c r="B1291" s="25"/>
      <c r="C1291" s="25"/>
      <c r="D1291" s="25"/>
      <c r="E1291" s="24"/>
    </row>
    <row r="1292" spans="1:5">
      <c r="A1292" s="25"/>
      <c r="B1292" s="25"/>
      <c r="C1292" s="25"/>
      <c r="D1292" s="25"/>
      <c r="E1292" s="24"/>
    </row>
    <row r="1293" spans="1:5">
      <c r="A1293" s="25"/>
      <c r="B1293" s="25"/>
      <c r="C1293" s="25"/>
      <c r="D1293" s="25"/>
      <c r="E1293" s="24"/>
    </row>
    <row r="1294" spans="1:5">
      <c r="A1294" s="25"/>
      <c r="B1294" s="25"/>
      <c r="C1294" s="25"/>
      <c r="D1294" s="25"/>
      <c r="E1294" s="24"/>
    </row>
    <row r="1295" spans="1:5">
      <c r="A1295" s="25"/>
      <c r="B1295" s="25"/>
      <c r="C1295" s="25"/>
      <c r="D1295" s="25"/>
      <c r="E1295" s="24"/>
    </row>
    <row r="1296" spans="1:5">
      <c r="A1296" s="25"/>
      <c r="B1296" s="25"/>
      <c r="C1296" s="25"/>
      <c r="D1296" s="25"/>
      <c r="E1296" s="24"/>
    </row>
    <row r="1297" spans="1:5">
      <c r="A1297" s="25"/>
      <c r="B1297" s="25"/>
      <c r="C1297" s="25"/>
      <c r="D1297" s="25"/>
      <c r="E1297" s="24"/>
    </row>
    <row r="1298" spans="1:5">
      <c r="A1298" s="25"/>
      <c r="B1298" s="25"/>
      <c r="C1298" s="25"/>
      <c r="D1298" s="25"/>
      <c r="E1298" s="24"/>
    </row>
    <row r="1299" spans="1:5">
      <c r="A1299" s="25"/>
      <c r="B1299" s="25"/>
      <c r="C1299" s="25"/>
      <c r="D1299" s="25"/>
      <c r="E1299" s="24"/>
    </row>
    <row r="1300" spans="1:5">
      <c r="A1300" s="25"/>
      <c r="B1300" s="25"/>
      <c r="C1300" s="25"/>
      <c r="D1300" s="25"/>
      <c r="E1300" s="24"/>
    </row>
    <row r="1301" spans="1:5">
      <c r="A1301" s="25"/>
      <c r="B1301" s="25"/>
      <c r="C1301" s="25"/>
      <c r="D1301" s="25"/>
      <c r="E1301" s="24"/>
    </row>
    <row r="1302" spans="1:5">
      <c r="A1302" s="25"/>
      <c r="B1302" s="25"/>
      <c r="C1302" s="25"/>
      <c r="D1302" s="25"/>
      <c r="E1302" s="24"/>
    </row>
    <row r="1303" spans="1:5">
      <c r="A1303" s="25"/>
      <c r="B1303" s="25"/>
      <c r="C1303" s="25"/>
      <c r="D1303" s="25"/>
      <c r="E1303" s="24"/>
    </row>
    <row r="1304" spans="1:5">
      <c r="A1304" s="25"/>
      <c r="B1304" s="25"/>
      <c r="C1304" s="25"/>
      <c r="D1304" s="25"/>
      <c r="E1304" s="24"/>
    </row>
    <row r="1305" spans="1:5">
      <c r="A1305" s="25"/>
      <c r="B1305" s="25"/>
      <c r="C1305" s="25"/>
      <c r="D1305" s="25"/>
      <c r="E1305" s="24"/>
    </row>
    <row r="1306" spans="1:5">
      <c r="A1306" s="25"/>
      <c r="B1306" s="25"/>
      <c r="C1306" s="25"/>
      <c r="D1306" s="25"/>
      <c r="E1306" s="24"/>
    </row>
    <row r="1307" spans="1:5">
      <c r="A1307" s="25"/>
      <c r="B1307" s="25"/>
      <c r="C1307" s="25"/>
      <c r="D1307" s="25"/>
      <c r="E1307" s="24"/>
    </row>
    <row r="1308" spans="1:5">
      <c r="A1308" s="25"/>
      <c r="B1308" s="25"/>
      <c r="C1308" s="25"/>
      <c r="D1308" s="25"/>
      <c r="E1308" s="24"/>
    </row>
    <row r="1309" spans="1:5">
      <c r="A1309" s="25"/>
      <c r="B1309" s="25"/>
      <c r="C1309" s="25"/>
      <c r="D1309" s="25"/>
      <c r="E1309" s="24"/>
    </row>
    <row r="1310" spans="1:5">
      <c r="A1310" s="25"/>
      <c r="B1310" s="25"/>
      <c r="C1310" s="25"/>
      <c r="D1310" s="25"/>
      <c r="E1310" s="24"/>
    </row>
    <row r="1311" spans="1:5">
      <c r="A1311" s="25"/>
      <c r="B1311" s="25"/>
      <c r="C1311" s="25"/>
      <c r="D1311" s="25"/>
      <c r="E1311" s="24"/>
    </row>
    <row r="1312" spans="1:5">
      <c r="A1312" s="25"/>
      <c r="B1312" s="25"/>
      <c r="C1312" s="25"/>
      <c r="D1312" s="25"/>
      <c r="E1312" s="24"/>
    </row>
    <row r="1313" spans="1:5">
      <c r="A1313" s="25"/>
      <c r="B1313" s="25"/>
      <c r="C1313" s="25"/>
      <c r="D1313" s="25"/>
      <c r="E1313" s="24"/>
    </row>
    <row r="1314" spans="1:5">
      <c r="A1314" s="25"/>
      <c r="B1314" s="25"/>
      <c r="C1314" s="25"/>
      <c r="D1314" s="25"/>
      <c r="E1314" s="24"/>
    </row>
    <row r="1315" spans="1:5">
      <c r="A1315" s="25"/>
      <c r="B1315" s="25"/>
      <c r="C1315" s="25"/>
      <c r="D1315" s="25"/>
      <c r="E1315" s="24"/>
    </row>
    <row r="1316" spans="1:5">
      <c r="A1316" s="25"/>
      <c r="B1316" s="25"/>
      <c r="C1316" s="25"/>
      <c r="D1316" s="25"/>
      <c r="E1316" s="24"/>
    </row>
    <row r="1317" spans="1:5">
      <c r="A1317" s="25"/>
      <c r="B1317" s="25"/>
      <c r="C1317" s="25"/>
      <c r="D1317" s="25"/>
      <c r="E1317" s="24"/>
    </row>
    <row r="1318" spans="1:5">
      <c r="A1318" s="25"/>
      <c r="B1318" s="25"/>
      <c r="C1318" s="25"/>
      <c r="D1318" s="25"/>
      <c r="E1318" s="24"/>
    </row>
    <row r="1319" spans="1:5">
      <c r="A1319" s="25"/>
      <c r="B1319" s="25"/>
      <c r="C1319" s="25"/>
      <c r="D1319" s="25"/>
      <c r="E1319" s="24"/>
    </row>
    <row r="1320" spans="1:5">
      <c r="A1320" s="25"/>
      <c r="B1320" s="25"/>
      <c r="C1320" s="25"/>
      <c r="D1320" s="25"/>
      <c r="E1320" s="24"/>
    </row>
    <row r="1321" spans="1:5">
      <c r="A1321" s="25"/>
      <c r="B1321" s="25"/>
      <c r="C1321" s="25"/>
      <c r="D1321" s="25"/>
      <c r="E1321" s="24"/>
    </row>
    <row r="1322" spans="1:5">
      <c r="A1322" s="25"/>
      <c r="B1322" s="25"/>
      <c r="C1322" s="25"/>
      <c r="D1322" s="25"/>
      <c r="E1322" s="24"/>
    </row>
    <row r="1323" spans="1:5">
      <c r="A1323" s="25"/>
      <c r="B1323" s="25"/>
      <c r="C1323" s="25"/>
      <c r="D1323" s="25"/>
      <c r="E1323" s="24"/>
    </row>
    <row r="1324" spans="1:5">
      <c r="A1324" s="25"/>
      <c r="B1324" s="25"/>
      <c r="C1324" s="25"/>
      <c r="D1324" s="25"/>
      <c r="E1324" s="24"/>
    </row>
    <row r="1325" spans="1:5">
      <c r="A1325" s="25"/>
      <c r="B1325" s="25"/>
      <c r="C1325" s="25"/>
      <c r="D1325" s="25"/>
      <c r="E1325" s="24"/>
    </row>
    <row r="1326" spans="1:5">
      <c r="A1326" s="25"/>
      <c r="B1326" s="25"/>
      <c r="C1326" s="25"/>
      <c r="D1326" s="25"/>
      <c r="E1326" s="24"/>
    </row>
    <row r="1327" spans="1:5">
      <c r="A1327" s="25"/>
      <c r="B1327" s="25"/>
      <c r="C1327" s="25"/>
      <c r="D1327" s="25"/>
      <c r="E1327" s="24"/>
    </row>
    <row r="1328" spans="1:5">
      <c r="A1328" s="25"/>
      <c r="B1328" s="25"/>
      <c r="C1328" s="25"/>
      <c r="D1328" s="25"/>
      <c r="E1328" s="24"/>
    </row>
    <row r="1329" spans="1:5">
      <c r="A1329" s="25"/>
      <c r="B1329" s="25"/>
      <c r="C1329" s="25"/>
      <c r="D1329" s="25"/>
      <c r="E1329" s="24"/>
    </row>
    <row r="1330" spans="1:5">
      <c r="A1330" s="25"/>
      <c r="B1330" s="25"/>
      <c r="C1330" s="25"/>
      <c r="D1330" s="25"/>
      <c r="E1330" s="24"/>
    </row>
    <row r="1331" spans="1:5">
      <c r="A1331" s="25"/>
      <c r="B1331" s="25"/>
      <c r="C1331" s="25"/>
      <c r="D1331" s="25"/>
      <c r="E1331" s="24"/>
    </row>
    <row r="1332" spans="1:5">
      <c r="A1332" s="25"/>
      <c r="B1332" s="25"/>
      <c r="C1332" s="25"/>
      <c r="D1332" s="25"/>
      <c r="E1332" s="24"/>
    </row>
    <row r="1333" spans="1:5">
      <c r="A1333" s="25"/>
      <c r="B1333" s="25"/>
      <c r="C1333" s="25"/>
      <c r="D1333" s="25"/>
      <c r="E1333" s="24"/>
    </row>
    <row r="1334" spans="1:5">
      <c r="A1334" s="25"/>
      <c r="B1334" s="25"/>
      <c r="C1334" s="25"/>
      <c r="D1334" s="25"/>
      <c r="E1334" s="24"/>
    </row>
    <row r="1335" spans="1:5">
      <c r="A1335" s="25"/>
      <c r="B1335" s="25"/>
      <c r="C1335" s="25"/>
      <c r="D1335" s="25"/>
      <c r="E1335" s="24"/>
    </row>
    <row r="1336" spans="1:5">
      <c r="A1336" s="25"/>
      <c r="B1336" s="25"/>
      <c r="C1336" s="25"/>
      <c r="D1336" s="25"/>
      <c r="E1336" s="24"/>
    </row>
    <row r="1337" spans="1:5">
      <c r="A1337" s="25"/>
      <c r="B1337" s="25"/>
      <c r="C1337" s="25"/>
      <c r="D1337" s="25"/>
      <c r="E1337" s="24"/>
    </row>
    <row r="1338" spans="1:5">
      <c r="A1338" s="25"/>
      <c r="B1338" s="25"/>
      <c r="C1338" s="25"/>
      <c r="D1338" s="25"/>
      <c r="E1338" s="24"/>
    </row>
    <row r="1339" spans="1:5">
      <c r="A1339" s="25"/>
      <c r="B1339" s="25"/>
      <c r="C1339" s="25"/>
      <c r="D1339" s="25"/>
      <c r="E1339" s="24"/>
    </row>
    <row r="1340" spans="1:5">
      <c r="A1340" s="25"/>
      <c r="B1340" s="25"/>
      <c r="C1340" s="25"/>
      <c r="D1340" s="25"/>
      <c r="E1340" s="24"/>
    </row>
    <row r="1341" spans="1:5">
      <c r="A1341" s="25"/>
      <c r="B1341" s="25"/>
      <c r="C1341" s="25"/>
      <c r="D1341" s="25"/>
      <c r="E1341" s="24"/>
    </row>
    <row r="1342" spans="1:5">
      <c r="A1342" s="25"/>
      <c r="B1342" s="25"/>
      <c r="C1342" s="25"/>
      <c r="D1342" s="25"/>
      <c r="E1342" s="24"/>
    </row>
    <row r="1343" spans="1:5">
      <c r="A1343" s="25"/>
      <c r="B1343" s="25"/>
      <c r="C1343" s="25"/>
      <c r="D1343" s="25"/>
      <c r="E1343" s="24"/>
    </row>
    <row r="1344" spans="1:5">
      <c r="A1344" s="25"/>
      <c r="B1344" s="25"/>
      <c r="C1344" s="25"/>
      <c r="D1344" s="25"/>
      <c r="E1344" s="24"/>
    </row>
    <row r="1345" spans="1:5">
      <c r="A1345" s="25"/>
      <c r="B1345" s="25"/>
      <c r="C1345" s="25"/>
      <c r="D1345" s="25"/>
      <c r="E1345" s="24"/>
    </row>
    <row r="1346" spans="1:5">
      <c r="A1346" s="25"/>
      <c r="B1346" s="25"/>
      <c r="C1346" s="25"/>
      <c r="D1346" s="25"/>
      <c r="E1346" s="24"/>
    </row>
    <row r="1347" spans="1:5">
      <c r="A1347" s="25"/>
      <c r="B1347" s="25"/>
      <c r="C1347" s="25"/>
      <c r="D1347" s="25"/>
      <c r="E1347" s="24"/>
    </row>
    <row r="1348" spans="1:5">
      <c r="A1348" s="25"/>
      <c r="B1348" s="25"/>
      <c r="C1348" s="25"/>
      <c r="D1348" s="25"/>
      <c r="E1348" s="24"/>
    </row>
    <row r="1349" spans="1:5">
      <c r="A1349" s="25"/>
      <c r="B1349" s="25"/>
      <c r="C1349" s="25"/>
      <c r="D1349" s="25"/>
      <c r="E1349" s="24"/>
    </row>
    <row r="1350" spans="1:5">
      <c r="A1350" s="25"/>
      <c r="B1350" s="25"/>
      <c r="C1350" s="25"/>
      <c r="D1350" s="25"/>
      <c r="E1350" s="24"/>
    </row>
    <row r="1351" spans="1:5">
      <c r="A1351" s="25"/>
      <c r="B1351" s="25"/>
      <c r="C1351" s="25"/>
      <c r="D1351" s="25"/>
      <c r="E1351" s="24"/>
    </row>
    <row r="1352" spans="1:5">
      <c r="A1352" s="25"/>
      <c r="B1352" s="25"/>
      <c r="C1352" s="25"/>
      <c r="D1352" s="25"/>
      <c r="E1352" s="24"/>
    </row>
    <row r="1353" spans="1:5">
      <c r="A1353" s="25"/>
      <c r="B1353" s="25"/>
      <c r="C1353" s="25"/>
      <c r="D1353" s="25"/>
      <c r="E1353" s="24"/>
    </row>
    <row r="1354" spans="1:5">
      <c r="A1354" s="25"/>
      <c r="B1354" s="25"/>
      <c r="C1354" s="25"/>
      <c r="D1354" s="25"/>
      <c r="E1354" s="24"/>
    </row>
    <row r="1355" spans="1:5">
      <c r="A1355" s="25"/>
      <c r="B1355" s="25"/>
      <c r="C1355" s="25"/>
      <c r="D1355" s="25"/>
      <c r="E1355" s="24"/>
    </row>
    <row r="1356" spans="1:5">
      <c r="A1356" s="25"/>
      <c r="B1356" s="25"/>
      <c r="C1356" s="25"/>
      <c r="D1356" s="25"/>
      <c r="E1356" s="24"/>
    </row>
    <row r="1357" spans="1:5">
      <c r="A1357" s="25"/>
      <c r="B1357" s="25"/>
      <c r="C1357" s="25"/>
      <c r="D1357" s="25"/>
      <c r="E1357" s="24"/>
    </row>
    <row r="1358" spans="1:5">
      <c r="A1358" s="25"/>
      <c r="B1358" s="25"/>
      <c r="C1358" s="25"/>
      <c r="D1358" s="25"/>
      <c r="E1358" s="24"/>
    </row>
    <row r="1359" spans="1:5">
      <c r="A1359" s="25"/>
      <c r="B1359" s="25"/>
      <c r="C1359" s="25"/>
      <c r="D1359" s="25"/>
      <c r="E1359" s="24"/>
    </row>
    <row r="1360" spans="1:5">
      <c r="A1360" s="25"/>
      <c r="B1360" s="25"/>
      <c r="C1360" s="25"/>
      <c r="D1360" s="25"/>
      <c r="E1360" s="24"/>
    </row>
    <row r="1361" spans="1:5">
      <c r="A1361" s="25"/>
      <c r="B1361" s="25"/>
      <c r="C1361" s="25"/>
      <c r="D1361" s="25"/>
      <c r="E1361" s="24"/>
    </row>
    <row r="1362" spans="1:5">
      <c r="A1362" s="25"/>
      <c r="B1362" s="25"/>
      <c r="C1362" s="25"/>
      <c r="D1362" s="25"/>
      <c r="E1362" s="24"/>
    </row>
    <row r="1363" spans="1:5">
      <c r="A1363" s="25"/>
      <c r="B1363" s="25"/>
      <c r="C1363" s="25"/>
      <c r="D1363" s="25"/>
      <c r="E1363" s="24"/>
    </row>
    <row r="1364" spans="1:5">
      <c r="A1364" s="25"/>
      <c r="B1364" s="25"/>
      <c r="C1364" s="25"/>
      <c r="D1364" s="25"/>
      <c r="E1364" s="24"/>
    </row>
    <row r="1365" spans="1:5">
      <c r="A1365" s="25"/>
      <c r="B1365" s="25"/>
      <c r="C1365" s="25"/>
      <c r="D1365" s="25"/>
      <c r="E1365" s="24"/>
    </row>
    <row r="1366" spans="1:5">
      <c r="A1366" s="25"/>
      <c r="B1366" s="25"/>
      <c r="C1366" s="25"/>
      <c r="D1366" s="25"/>
      <c r="E1366" s="24"/>
    </row>
    <row r="1367" spans="1:5">
      <c r="A1367" s="25"/>
      <c r="B1367" s="25"/>
      <c r="C1367" s="25"/>
      <c r="D1367" s="25"/>
      <c r="E1367" s="24"/>
    </row>
    <row r="1368" spans="1:5">
      <c r="A1368" s="25"/>
      <c r="B1368" s="25"/>
      <c r="C1368" s="25"/>
      <c r="D1368" s="25"/>
      <c r="E1368" s="24"/>
    </row>
    <row r="1369" spans="1:5">
      <c r="A1369" s="25"/>
      <c r="B1369" s="25"/>
      <c r="C1369" s="25"/>
      <c r="D1369" s="25"/>
      <c r="E1369" s="24"/>
    </row>
    <row r="1370" spans="1:5">
      <c r="A1370" s="25"/>
      <c r="B1370" s="25"/>
      <c r="C1370" s="25"/>
      <c r="D1370" s="25"/>
      <c r="E1370" s="24"/>
    </row>
    <row r="1371" spans="1:5">
      <c r="A1371" s="25"/>
      <c r="B1371" s="25"/>
      <c r="C1371" s="25"/>
      <c r="D1371" s="25"/>
      <c r="E1371" s="24"/>
    </row>
    <row r="1372" spans="1:5">
      <c r="A1372" s="25"/>
      <c r="B1372" s="25"/>
      <c r="C1372" s="25"/>
      <c r="D1372" s="25"/>
      <c r="E1372" s="24"/>
    </row>
    <row r="1373" spans="1:5">
      <c r="A1373" s="25"/>
      <c r="B1373" s="25"/>
      <c r="C1373" s="25"/>
      <c r="D1373" s="25"/>
      <c r="E1373" s="24"/>
    </row>
    <row r="1374" spans="1:5">
      <c r="A1374" s="25"/>
      <c r="B1374" s="25"/>
      <c r="C1374" s="25"/>
      <c r="D1374" s="25"/>
      <c r="E1374" s="24"/>
    </row>
    <row r="1375" spans="1:5">
      <c r="A1375" s="25"/>
      <c r="B1375" s="25"/>
      <c r="C1375" s="25"/>
      <c r="D1375" s="25"/>
      <c r="E1375" s="24"/>
    </row>
    <row r="1376" spans="1:5">
      <c r="A1376" s="25"/>
      <c r="B1376" s="25"/>
      <c r="C1376" s="25"/>
      <c r="D1376" s="25"/>
      <c r="E1376" s="24"/>
    </row>
    <row r="1377" spans="1:5">
      <c r="A1377" s="25"/>
      <c r="B1377" s="25"/>
      <c r="C1377" s="25"/>
      <c r="D1377" s="25"/>
      <c r="E1377" s="24"/>
    </row>
    <row r="1378" spans="1:5">
      <c r="A1378" s="25"/>
      <c r="B1378" s="25"/>
      <c r="C1378" s="25"/>
      <c r="D1378" s="25"/>
      <c r="E1378" s="24"/>
    </row>
    <row r="1379" spans="1:5">
      <c r="A1379" s="25"/>
      <c r="B1379" s="25"/>
      <c r="C1379" s="25"/>
      <c r="D1379" s="25"/>
      <c r="E1379" s="24"/>
    </row>
    <row r="1380" spans="1:5">
      <c r="A1380" s="25"/>
      <c r="B1380" s="25"/>
      <c r="C1380" s="25"/>
      <c r="D1380" s="25"/>
      <c r="E1380" s="24"/>
    </row>
    <row r="1381" spans="1:5">
      <c r="A1381" s="25"/>
      <c r="B1381" s="25"/>
      <c r="C1381" s="25"/>
      <c r="D1381" s="25"/>
      <c r="E1381" s="24"/>
    </row>
    <row r="1382" spans="1:5">
      <c r="A1382" s="25"/>
      <c r="B1382" s="25"/>
      <c r="C1382" s="25"/>
      <c r="D1382" s="25"/>
      <c r="E1382" s="24"/>
    </row>
    <row r="1383" spans="1:5">
      <c r="A1383" s="25"/>
      <c r="B1383" s="25"/>
      <c r="C1383" s="25"/>
      <c r="D1383" s="25"/>
      <c r="E1383" s="24"/>
    </row>
    <row r="1384" spans="1:5">
      <c r="A1384" s="25"/>
      <c r="B1384" s="25"/>
      <c r="C1384" s="25"/>
      <c r="D1384" s="25"/>
      <c r="E1384" s="24"/>
    </row>
    <row r="1385" spans="1:5">
      <c r="A1385" s="25"/>
      <c r="B1385" s="25"/>
      <c r="C1385" s="25"/>
      <c r="D1385" s="25"/>
      <c r="E1385" s="24"/>
    </row>
    <row r="1386" spans="1:5">
      <c r="A1386" s="25"/>
      <c r="B1386" s="25"/>
      <c r="C1386" s="25"/>
      <c r="D1386" s="25"/>
      <c r="E1386" s="24"/>
    </row>
    <row r="1387" spans="1:5">
      <c r="A1387" s="25"/>
      <c r="B1387" s="25"/>
      <c r="C1387" s="25"/>
      <c r="D1387" s="25"/>
      <c r="E1387" s="24"/>
    </row>
    <row r="1388" spans="1:5">
      <c r="A1388" s="25"/>
      <c r="B1388" s="25"/>
      <c r="C1388" s="25"/>
      <c r="D1388" s="25"/>
      <c r="E1388" s="24"/>
    </row>
    <row r="1389" spans="1:5">
      <c r="A1389" s="25"/>
      <c r="B1389" s="25"/>
      <c r="C1389" s="25"/>
      <c r="D1389" s="25"/>
      <c r="E1389" s="24"/>
    </row>
    <row r="1390" spans="1:5">
      <c r="A1390" s="25"/>
      <c r="B1390" s="25"/>
      <c r="C1390" s="25"/>
      <c r="D1390" s="25"/>
      <c r="E1390" s="24"/>
    </row>
    <row r="1391" spans="1:5">
      <c r="A1391" s="25"/>
      <c r="B1391" s="25"/>
      <c r="C1391" s="25"/>
      <c r="D1391" s="25"/>
      <c r="E1391" s="24"/>
    </row>
    <row r="1392" spans="1:5">
      <c r="A1392" s="25"/>
      <c r="B1392" s="25"/>
      <c r="C1392" s="25"/>
      <c r="D1392" s="25"/>
      <c r="E1392" s="24"/>
    </row>
    <row r="1393" spans="1:5">
      <c r="A1393" s="25"/>
      <c r="B1393" s="25"/>
      <c r="C1393" s="25"/>
      <c r="D1393" s="25"/>
      <c r="E1393" s="24"/>
    </row>
    <row r="1394" spans="1:5">
      <c r="A1394" s="25"/>
      <c r="B1394" s="25"/>
      <c r="C1394" s="25"/>
      <c r="D1394" s="25"/>
      <c r="E1394" s="24"/>
    </row>
    <row r="1395" spans="1:5">
      <c r="A1395" s="25"/>
      <c r="B1395" s="25"/>
      <c r="C1395" s="25"/>
      <c r="D1395" s="25"/>
      <c r="E1395" s="24"/>
    </row>
    <row r="1396" spans="1:5">
      <c r="A1396" s="25"/>
      <c r="B1396" s="25"/>
      <c r="C1396" s="25"/>
      <c r="D1396" s="25"/>
      <c r="E1396" s="24"/>
    </row>
    <row r="1397" spans="1:5">
      <c r="A1397" s="25"/>
      <c r="B1397" s="25"/>
      <c r="C1397" s="25"/>
      <c r="D1397" s="25"/>
      <c r="E1397" s="24"/>
    </row>
    <row r="1398" spans="1:5">
      <c r="A1398" s="25"/>
      <c r="B1398" s="25"/>
      <c r="C1398" s="25"/>
      <c r="D1398" s="25"/>
      <c r="E1398" s="24"/>
    </row>
    <row r="1399" spans="1:5">
      <c r="A1399" s="25"/>
      <c r="B1399" s="25"/>
      <c r="C1399" s="25"/>
      <c r="D1399" s="25"/>
      <c r="E1399" s="24"/>
    </row>
    <row r="1400" spans="1:5">
      <c r="A1400" s="25"/>
      <c r="B1400" s="25"/>
      <c r="C1400" s="25"/>
      <c r="D1400" s="25"/>
      <c r="E1400" s="24"/>
    </row>
    <row r="1401" spans="1:5">
      <c r="A1401" s="25"/>
      <c r="B1401" s="25"/>
      <c r="C1401" s="25"/>
      <c r="D1401" s="25"/>
      <c r="E1401" s="24"/>
    </row>
    <row r="1402" spans="1:5">
      <c r="A1402" s="25"/>
      <c r="B1402" s="25"/>
      <c r="C1402" s="25"/>
      <c r="D1402" s="25"/>
      <c r="E1402" s="24"/>
    </row>
    <row r="1403" spans="1:5">
      <c r="A1403" s="25"/>
      <c r="B1403" s="25"/>
      <c r="C1403" s="25"/>
      <c r="D1403" s="25"/>
      <c r="E1403" s="24"/>
    </row>
    <row r="1404" spans="1:5">
      <c r="A1404" s="25"/>
      <c r="B1404" s="25"/>
      <c r="C1404" s="25"/>
      <c r="D1404" s="25"/>
      <c r="E1404" s="24"/>
    </row>
    <row r="1405" spans="1:5">
      <c r="A1405" s="25"/>
      <c r="B1405" s="25"/>
      <c r="C1405" s="25"/>
      <c r="D1405" s="25"/>
      <c r="E1405" s="24"/>
    </row>
    <row r="1406" spans="1:5">
      <c r="A1406" s="25"/>
      <c r="B1406" s="25"/>
      <c r="C1406" s="25"/>
      <c r="D1406" s="25"/>
      <c r="E1406" s="24"/>
    </row>
    <row r="1407" spans="1:5">
      <c r="A1407" s="25"/>
      <c r="B1407" s="25"/>
      <c r="C1407" s="25"/>
      <c r="D1407" s="25"/>
      <c r="E1407" s="24"/>
    </row>
    <row r="1408" spans="1:5">
      <c r="A1408" s="25"/>
      <c r="B1408" s="25"/>
      <c r="C1408" s="25"/>
      <c r="D1408" s="25"/>
      <c r="E1408" s="24"/>
    </row>
    <row r="1409" spans="1:5">
      <c r="A1409" s="25"/>
      <c r="B1409" s="25"/>
      <c r="C1409" s="25"/>
      <c r="D1409" s="25"/>
      <c r="E1409" s="24"/>
    </row>
    <row r="1410" spans="1:5">
      <c r="A1410" s="25"/>
      <c r="B1410" s="25"/>
      <c r="C1410" s="25"/>
      <c r="D1410" s="25"/>
      <c r="E1410" s="24"/>
    </row>
    <row r="1411" spans="1:5">
      <c r="A1411" s="25"/>
      <c r="B1411" s="25"/>
      <c r="C1411" s="25"/>
      <c r="D1411" s="25"/>
      <c r="E1411" s="24"/>
    </row>
    <row r="1412" spans="1:5">
      <c r="A1412" s="25"/>
      <c r="B1412" s="25"/>
      <c r="C1412" s="25"/>
      <c r="D1412" s="25"/>
      <c r="E1412" s="24"/>
    </row>
    <row r="1413" spans="1:5">
      <c r="A1413" s="25"/>
      <c r="B1413" s="25"/>
      <c r="C1413" s="25"/>
      <c r="D1413" s="25"/>
      <c r="E1413" s="24"/>
    </row>
    <row r="1414" spans="1:5">
      <c r="A1414" s="25"/>
      <c r="B1414" s="25"/>
      <c r="C1414" s="25"/>
      <c r="D1414" s="25"/>
      <c r="E1414" s="24"/>
    </row>
    <row r="1415" spans="1:5">
      <c r="A1415" s="25"/>
      <c r="B1415" s="25"/>
      <c r="C1415" s="25"/>
      <c r="D1415" s="25"/>
      <c r="E1415" s="24"/>
    </row>
    <row r="1416" spans="1:5">
      <c r="A1416" s="25"/>
      <c r="B1416" s="25"/>
      <c r="C1416" s="25"/>
      <c r="D1416" s="25"/>
      <c r="E1416" s="24"/>
    </row>
    <row r="1417" spans="1:5">
      <c r="A1417" s="25"/>
      <c r="B1417" s="25"/>
      <c r="C1417" s="25"/>
      <c r="D1417" s="25"/>
      <c r="E1417" s="24"/>
    </row>
    <row r="1418" spans="1:5">
      <c r="A1418" s="25"/>
      <c r="B1418" s="25"/>
      <c r="C1418" s="25"/>
      <c r="D1418" s="25"/>
      <c r="E1418" s="24"/>
    </row>
    <row r="1419" spans="1:5">
      <c r="A1419" s="25"/>
      <c r="B1419" s="25"/>
      <c r="C1419" s="25"/>
      <c r="D1419" s="25"/>
      <c r="E1419" s="24"/>
    </row>
    <row r="1420" spans="1:5">
      <c r="A1420" s="25"/>
      <c r="B1420" s="25"/>
      <c r="C1420" s="25"/>
      <c r="D1420" s="25"/>
      <c r="E1420" s="24"/>
    </row>
    <row r="1421" spans="1:5">
      <c r="A1421" s="25"/>
      <c r="B1421" s="25"/>
      <c r="C1421" s="25"/>
      <c r="D1421" s="25"/>
      <c r="E1421" s="24"/>
    </row>
    <row r="1422" spans="1:5">
      <c r="A1422" s="25"/>
      <c r="B1422" s="25"/>
      <c r="C1422" s="25"/>
      <c r="D1422" s="25"/>
      <c r="E1422" s="24"/>
    </row>
    <row r="1423" spans="1:5">
      <c r="A1423" s="25"/>
      <c r="B1423" s="25"/>
      <c r="C1423" s="25"/>
      <c r="D1423" s="25"/>
      <c r="E1423" s="24"/>
    </row>
    <row r="1424" spans="1:5">
      <c r="A1424" s="25"/>
      <c r="B1424" s="25"/>
      <c r="C1424" s="25"/>
      <c r="D1424" s="25"/>
      <c r="E1424" s="24"/>
    </row>
    <row r="1425" spans="1:5">
      <c r="A1425" s="25"/>
      <c r="B1425" s="25"/>
      <c r="C1425" s="25"/>
      <c r="D1425" s="25"/>
      <c r="E1425" s="24"/>
    </row>
    <row r="1426" spans="1:5">
      <c r="A1426" s="25"/>
      <c r="B1426" s="25"/>
      <c r="C1426" s="25"/>
      <c r="D1426" s="25"/>
      <c r="E1426" s="24"/>
    </row>
    <row r="1427" spans="1:5">
      <c r="A1427" s="25"/>
      <c r="B1427" s="25"/>
      <c r="C1427" s="25"/>
      <c r="D1427" s="25"/>
      <c r="E1427" s="24"/>
    </row>
    <row r="1428" spans="1:5">
      <c r="A1428" s="25"/>
      <c r="B1428" s="25"/>
      <c r="C1428" s="25"/>
      <c r="D1428" s="25"/>
      <c r="E1428" s="24"/>
    </row>
    <row r="1429" spans="1:5">
      <c r="A1429" s="25"/>
      <c r="B1429" s="25"/>
      <c r="C1429" s="25"/>
      <c r="D1429" s="25"/>
      <c r="E1429" s="24"/>
    </row>
    <row r="1430" spans="1:5">
      <c r="A1430" s="25"/>
      <c r="B1430" s="25"/>
      <c r="C1430" s="25"/>
      <c r="D1430" s="25"/>
      <c r="E1430" s="24"/>
    </row>
    <row r="1431" spans="1:5">
      <c r="A1431" s="25"/>
      <c r="B1431" s="25"/>
      <c r="C1431" s="25"/>
      <c r="D1431" s="25"/>
      <c r="E1431" s="24"/>
    </row>
    <row r="1432" spans="1:5">
      <c r="A1432" s="25"/>
      <c r="B1432" s="25"/>
      <c r="C1432" s="25"/>
      <c r="D1432" s="25"/>
      <c r="E1432" s="24"/>
    </row>
    <row r="1433" spans="1:5">
      <c r="A1433" s="25"/>
      <c r="B1433" s="25"/>
      <c r="C1433" s="25"/>
      <c r="D1433" s="25"/>
      <c r="E1433" s="24"/>
    </row>
    <row r="1434" spans="1:5">
      <c r="A1434" s="25"/>
      <c r="B1434" s="25"/>
      <c r="C1434" s="25"/>
      <c r="D1434" s="25"/>
      <c r="E1434" s="24"/>
    </row>
    <row r="1435" spans="1:5">
      <c r="A1435" s="25"/>
      <c r="B1435" s="25"/>
      <c r="C1435" s="25"/>
      <c r="D1435" s="25"/>
      <c r="E1435" s="24"/>
    </row>
    <row r="1436" spans="1:5">
      <c r="A1436" s="25"/>
      <c r="B1436" s="25"/>
      <c r="C1436" s="25"/>
      <c r="D1436" s="25"/>
      <c r="E1436" s="24"/>
    </row>
    <row r="1437" spans="1:5">
      <c r="A1437" s="25"/>
      <c r="B1437" s="25"/>
      <c r="C1437" s="25"/>
      <c r="D1437" s="25"/>
      <c r="E1437" s="24"/>
    </row>
    <row r="1438" spans="1:5">
      <c r="A1438" s="25"/>
      <c r="B1438" s="25"/>
      <c r="C1438" s="25"/>
      <c r="D1438" s="25"/>
      <c r="E1438" s="24"/>
    </row>
    <row r="1439" spans="1:5">
      <c r="A1439" s="25"/>
      <c r="B1439" s="25"/>
      <c r="C1439" s="25"/>
      <c r="D1439" s="25"/>
      <c r="E1439" s="24"/>
    </row>
    <row r="1440" spans="1:5">
      <c r="A1440" s="25"/>
      <c r="B1440" s="25"/>
      <c r="C1440" s="25"/>
      <c r="D1440" s="25"/>
      <c r="E1440" s="24"/>
    </row>
    <row r="1441" spans="1:5">
      <c r="A1441" s="25"/>
      <c r="B1441" s="25"/>
      <c r="C1441" s="25"/>
      <c r="D1441" s="25"/>
      <c r="E1441" s="24"/>
    </row>
    <row r="1442" spans="1:5">
      <c r="A1442" s="25"/>
      <c r="B1442" s="25"/>
      <c r="C1442" s="25"/>
      <c r="D1442" s="25"/>
      <c r="E1442" s="24"/>
    </row>
    <row r="1443" spans="1:5">
      <c r="A1443" s="25"/>
      <c r="B1443" s="25"/>
      <c r="C1443" s="25"/>
      <c r="D1443" s="25"/>
      <c r="E1443" s="24"/>
    </row>
    <row r="1444" spans="1:5">
      <c r="A1444" s="25"/>
      <c r="B1444" s="25"/>
      <c r="C1444" s="25"/>
      <c r="D1444" s="25"/>
      <c r="E1444" s="24"/>
    </row>
    <row r="1445" spans="1:5">
      <c r="A1445" s="25"/>
      <c r="B1445" s="25"/>
      <c r="C1445" s="25"/>
      <c r="D1445" s="25"/>
      <c r="E1445" s="24"/>
    </row>
    <row r="1446" spans="1:5">
      <c r="A1446" s="25"/>
      <c r="B1446" s="25"/>
      <c r="C1446" s="25"/>
      <c r="D1446" s="25"/>
      <c r="E1446" s="24"/>
    </row>
    <row r="1447" spans="1:5">
      <c r="A1447" s="25"/>
      <c r="B1447" s="25"/>
      <c r="C1447" s="25"/>
      <c r="D1447" s="25"/>
      <c r="E1447" s="24"/>
    </row>
    <row r="1448" spans="1:5">
      <c r="A1448" s="25"/>
      <c r="B1448" s="25"/>
      <c r="C1448" s="25"/>
      <c r="D1448" s="25"/>
      <c r="E1448" s="24"/>
    </row>
    <row r="1449" spans="1:5">
      <c r="A1449" s="25"/>
      <c r="B1449" s="25"/>
      <c r="C1449" s="25"/>
      <c r="D1449" s="25"/>
      <c r="E1449" s="24"/>
    </row>
    <row r="1450" spans="1:5">
      <c r="A1450" s="25"/>
      <c r="B1450" s="25"/>
      <c r="C1450" s="25"/>
      <c r="D1450" s="25"/>
      <c r="E1450" s="24"/>
    </row>
    <row r="1451" spans="1:5">
      <c r="A1451" s="25"/>
      <c r="B1451" s="25"/>
      <c r="C1451" s="25"/>
      <c r="D1451" s="25"/>
      <c r="E1451" s="24"/>
    </row>
    <row r="1452" spans="1:5">
      <c r="A1452" s="25"/>
      <c r="B1452" s="25"/>
      <c r="C1452" s="25"/>
      <c r="D1452" s="25"/>
      <c r="E1452" s="24"/>
    </row>
    <row r="1453" spans="1:5">
      <c r="A1453" s="25"/>
      <c r="B1453" s="25"/>
      <c r="C1453" s="25"/>
      <c r="D1453" s="25"/>
      <c r="E1453" s="24"/>
    </row>
    <row r="1454" spans="1:5">
      <c r="A1454" s="25"/>
      <c r="B1454" s="25"/>
      <c r="C1454" s="25"/>
      <c r="D1454" s="25"/>
      <c r="E1454" s="24"/>
    </row>
    <row r="1455" spans="1:5">
      <c r="A1455" s="25"/>
      <c r="B1455" s="25"/>
      <c r="C1455" s="25"/>
      <c r="D1455" s="25"/>
      <c r="E1455" s="24"/>
    </row>
    <row r="1456" spans="1:5">
      <c r="A1456" s="25"/>
      <c r="B1456" s="25"/>
      <c r="C1456" s="25"/>
      <c r="D1456" s="25"/>
      <c r="E1456" s="24"/>
    </row>
    <row r="1457" spans="1:5">
      <c r="A1457" s="25"/>
      <c r="B1457" s="25"/>
      <c r="C1457" s="25"/>
      <c r="D1457" s="25"/>
      <c r="E1457" s="24"/>
    </row>
    <row r="1458" spans="1:5">
      <c r="A1458" s="25"/>
      <c r="B1458" s="25"/>
      <c r="C1458" s="25"/>
      <c r="D1458" s="25"/>
      <c r="E1458" s="24"/>
    </row>
    <row r="1459" spans="1:5">
      <c r="A1459" s="25"/>
      <c r="B1459" s="25"/>
      <c r="C1459" s="25"/>
      <c r="D1459" s="25"/>
      <c r="E1459" s="24"/>
    </row>
    <row r="1460" spans="1:5">
      <c r="A1460" s="25"/>
      <c r="B1460" s="25"/>
      <c r="C1460" s="25"/>
      <c r="D1460" s="25"/>
      <c r="E1460" s="24"/>
    </row>
    <row r="1461" spans="1:5">
      <c r="A1461" s="25"/>
      <c r="B1461" s="25"/>
      <c r="C1461" s="25"/>
      <c r="D1461" s="25"/>
      <c r="E1461" s="24"/>
    </row>
    <row r="1462" spans="1:5">
      <c r="A1462" s="25"/>
      <c r="B1462" s="25"/>
      <c r="C1462" s="25"/>
      <c r="D1462" s="25"/>
      <c r="E1462" s="24"/>
    </row>
    <row r="1463" spans="1:5">
      <c r="A1463" s="25"/>
      <c r="B1463" s="25"/>
      <c r="C1463" s="25"/>
      <c r="D1463" s="25"/>
      <c r="E1463" s="24"/>
    </row>
    <row r="1464" spans="1:5">
      <c r="A1464" s="25"/>
      <c r="B1464" s="25"/>
      <c r="C1464" s="25"/>
      <c r="D1464" s="25"/>
      <c r="E1464" s="24"/>
    </row>
    <row r="1465" spans="1:5">
      <c r="A1465" s="25"/>
      <c r="B1465" s="25"/>
      <c r="C1465" s="25"/>
      <c r="D1465" s="25"/>
      <c r="E1465" s="24"/>
    </row>
    <row r="1466" spans="1:5">
      <c r="A1466" s="25"/>
      <c r="B1466" s="25"/>
      <c r="C1466" s="25"/>
      <c r="D1466" s="25"/>
      <c r="E1466" s="24"/>
    </row>
    <row r="1467" spans="1:5">
      <c r="A1467" s="25"/>
      <c r="B1467" s="25"/>
      <c r="C1467" s="25"/>
      <c r="D1467" s="25"/>
      <c r="E1467" s="24"/>
    </row>
    <row r="1468" spans="1:5">
      <c r="A1468" s="25"/>
      <c r="B1468" s="25"/>
      <c r="C1468" s="25"/>
      <c r="D1468" s="25"/>
      <c r="E1468" s="24"/>
    </row>
    <row r="1469" spans="1:5">
      <c r="A1469" s="25"/>
      <c r="B1469" s="25"/>
      <c r="C1469" s="25"/>
      <c r="D1469" s="25"/>
      <c r="E1469" s="24"/>
    </row>
    <row r="1470" spans="1:5">
      <c r="A1470" s="25"/>
      <c r="B1470" s="25"/>
      <c r="C1470" s="25"/>
      <c r="D1470" s="25"/>
      <c r="E1470" s="24"/>
    </row>
    <row r="1471" spans="1:5">
      <c r="A1471" s="25"/>
      <c r="B1471" s="25"/>
      <c r="C1471" s="25"/>
      <c r="D1471" s="25"/>
      <c r="E1471" s="24"/>
    </row>
    <row r="1472" spans="1:5">
      <c r="A1472" s="25"/>
      <c r="B1472" s="25"/>
      <c r="C1472" s="25"/>
      <c r="D1472" s="25"/>
      <c r="E1472" s="24"/>
    </row>
    <row r="1473" spans="1:5">
      <c r="A1473" s="25"/>
      <c r="B1473" s="25"/>
      <c r="C1473" s="25"/>
      <c r="D1473" s="25"/>
      <c r="E1473" s="24"/>
    </row>
    <row r="1474" spans="1:5">
      <c r="A1474" s="25"/>
      <c r="B1474" s="25"/>
      <c r="C1474" s="25"/>
      <c r="D1474" s="25"/>
      <c r="E1474" s="24"/>
    </row>
    <row r="1475" spans="1:5">
      <c r="A1475" s="25"/>
      <c r="B1475" s="25"/>
      <c r="C1475" s="25"/>
      <c r="D1475" s="25"/>
      <c r="E1475" s="24"/>
    </row>
    <row r="1476" spans="1:5">
      <c r="A1476" s="25"/>
      <c r="B1476" s="25"/>
      <c r="C1476" s="25"/>
      <c r="D1476" s="25"/>
      <c r="E1476" s="24"/>
    </row>
    <row r="1477" spans="1:5">
      <c r="A1477" s="25"/>
      <c r="B1477" s="25"/>
      <c r="C1477" s="25"/>
      <c r="D1477" s="25"/>
      <c r="E1477" s="24"/>
    </row>
    <row r="1478" spans="1:5">
      <c r="A1478" s="25"/>
      <c r="B1478" s="25"/>
      <c r="C1478" s="25"/>
      <c r="D1478" s="25"/>
      <c r="E1478" s="24"/>
    </row>
    <row r="1479" spans="1:5">
      <c r="A1479" s="25"/>
      <c r="B1479" s="25"/>
      <c r="C1479" s="25"/>
      <c r="D1479" s="25"/>
      <c r="E1479" s="24"/>
    </row>
    <row r="1480" spans="1:5">
      <c r="A1480" s="25"/>
      <c r="B1480" s="25"/>
      <c r="C1480" s="25"/>
      <c r="D1480" s="25"/>
      <c r="E1480" s="24"/>
    </row>
    <row r="1481" spans="1:5">
      <c r="A1481" s="25"/>
      <c r="B1481" s="25"/>
      <c r="C1481" s="25"/>
      <c r="D1481" s="25"/>
      <c r="E1481" s="24"/>
    </row>
    <row r="1482" spans="1:5">
      <c r="A1482" s="25"/>
      <c r="B1482" s="25"/>
      <c r="C1482" s="25"/>
      <c r="D1482" s="25"/>
      <c r="E1482" s="24"/>
    </row>
    <row r="1483" spans="1:5">
      <c r="A1483" s="25"/>
      <c r="B1483" s="25"/>
      <c r="C1483" s="25"/>
      <c r="D1483" s="25"/>
      <c r="E1483" s="24"/>
    </row>
    <row r="1484" spans="1:5">
      <c r="A1484" s="25"/>
      <c r="B1484" s="25"/>
      <c r="C1484" s="25"/>
      <c r="D1484" s="25"/>
      <c r="E1484" s="24"/>
    </row>
    <row r="1485" spans="1:5">
      <c r="A1485" s="25"/>
      <c r="B1485" s="25"/>
      <c r="C1485" s="25"/>
      <c r="D1485" s="25"/>
      <c r="E1485" s="24"/>
    </row>
    <row r="1486" spans="1:5">
      <c r="A1486" s="25"/>
      <c r="B1486" s="25"/>
      <c r="C1486" s="25"/>
      <c r="D1486" s="25"/>
      <c r="E1486" s="24"/>
    </row>
    <row r="1487" spans="1:5">
      <c r="A1487" s="25"/>
      <c r="B1487" s="25"/>
      <c r="C1487" s="25"/>
      <c r="D1487" s="25"/>
      <c r="E1487" s="24"/>
    </row>
    <row r="1488" spans="1:5">
      <c r="A1488" s="25"/>
      <c r="B1488" s="25"/>
      <c r="C1488" s="25"/>
      <c r="D1488" s="25"/>
      <c r="E1488" s="24"/>
    </row>
    <row r="1489" spans="1:5">
      <c r="A1489" s="25"/>
      <c r="B1489" s="25"/>
      <c r="C1489" s="25"/>
      <c r="D1489" s="25"/>
      <c r="E1489" s="24"/>
    </row>
    <row r="1490" spans="1:5">
      <c r="A1490" s="25"/>
      <c r="B1490" s="25"/>
      <c r="C1490" s="25"/>
      <c r="D1490" s="25"/>
      <c r="E1490" s="24"/>
    </row>
    <row r="1491" spans="1:5">
      <c r="A1491" s="25"/>
      <c r="B1491" s="25"/>
      <c r="C1491" s="25"/>
      <c r="D1491" s="25"/>
      <c r="E1491" s="24"/>
    </row>
    <row r="1492" spans="1:5">
      <c r="A1492" s="25"/>
      <c r="B1492" s="25"/>
      <c r="C1492" s="25"/>
      <c r="D1492" s="25"/>
      <c r="E1492" s="24"/>
    </row>
    <row r="1493" spans="1:5">
      <c r="A1493" s="25"/>
      <c r="B1493" s="25"/>
      <c r="C1493" s="25"/>
      <c r="D1493" s="25"/>
      <c r="E1493" s="24"/>
    </row>
    <row r="1494" spans="1:5">
      <c r="A1494" s="25"/>
      <c r="B1494" s="25"/>
      <c r="C1494" s="25"/>
      <c r="D1494" s="25"/>
      <c r="E1494" s="24"/>
    </row>
    <row r="1495" spans="1:5">
      <c r="A1495" s="25"/>
      <c r="B1495" s="25"/>
      <c r="C1495" s="25"/>
      <c r="D1495" s="25"/>
      <c r="E1495" s="24"/>
    </row>
    <row r="1496" spans="1:5">
      <c r="A1496" s="25"/>
      <c r="B1496" s="25"/>
      <c r="C1496" s="25"/>
      <c r="D1496" s="25"/>
      <c r="E1496" s="24"/>
    </row>
    <row r="1497" spans="1:5">
      <c r="A1497" s="25"/>
      <c r="B1497" s="25"/>
      <c r="C1497" s="25"/>
      <c r="D1497" s="25"/>
      <c r="E1497" s="24"/>
    </row>
    <row r="1498" spans="1:5">
      <c r="A1498" s="25"/>
      <c r="B1498" s="25"/>
      <c r="C1498" s="25"/>
      <c r="D1498" s="25"/>
      <c r="E1498" s="24"/>
    </row>
    <row r="1499" spans="1:5">
      <c r="A1499" s="25"/>
      <c r="B1499" s="25"/>
      <c r="C1499" s="25"/>
      <c r="D1499" s="25"/>
      <c r="E1499" s="24"/>
    </row>
    <row r="1500" spans="1:5">
      <c r="A1500" s="25"/>
      <c r="B1500" s="25"/>
      <c r="C1500" s="25"/>
      <c r="D1500" s="25"/>
      <c r="E1500" s="24"/>
    </row>
    <row r="1501" spans="1:5">
      <c r="A1501" s="25"/>
      <c r="B1501" s="25"/>
      <c r="C1501" s="25"/>
      <c r="D1501" s="25"/>
      <c r="E1501" s="24"/>
    </row>
    <row r="1502" spans="1:5">
      <c r="A1502" s="25"/>
      <c r="B1502" s="25"/>
      <c r="C1502" s="25"/>
      <c r="D1502" s="25"/>
      <c r="E1502" s="24"/>
    </row>
    <row r="1503" spans="1:5">
      <c r="A1503" s="25"/>
      <c r="B1503" s="25"/>
      <c r="C1503" s="25"/>
      <c r="D1503" s="25"/>
      <c r="E1503" s="24"/>
    </row>
    <row r="1504" spans="1:5">
      <c r="A1504" s="25"/>
      <c r="B1504" s="25"/>
      <c r="C1504" s="25"/>
      <c r="D1504" s="25"/>
      <c r="E1504" s="24"/>
    </row>
    <row r="1505" spans="1:5">
      <c r="A1505" s="25"/>
      <c r="B1505" s="25"/>
      <c r="C1505" s="25"/>
      <c r="D1505" s="25"/>
      <c r="E1505" s="24"/>
    </row>
    <row r="1506" spans="1:5">
      <c r="A1506" s="25"/>
      <c r="B1506" s="25"/>
      <c r="C1506" s="25"/>
      <c r="D1506" s="25"/>
      <c r="E1506" s="24"/>
    </row>
    <row r="1507" spans="1:5">
      <c r="A1507" s="25"/>
      <c r="B1507" s="25"/>
      <c r="C1507" s="25"/>
      <c r="D1507" s="25"/>
      <c r="E1507" s="24"/>
    </row>
    <row r="1508" spans="1:5">
      <c r="A1508" s="25"/>
      <c r="B1508" s="25"/>
      <c r="C1508" s="25"/>
      <c r="D1508" s="25"/>
      <c r="E1508" s="24"/>
    </row>
    <row r="1509" spans="1:5">
      <c r="A1509" s="25"/>
      <c r="B1509" s="25"/>
      <c r="C1509" s="25"/>
      <c r="D1509" s="25"/>
      <c r="E1509" s="24"/>
    </row>
    <row r="1510" spans="1:5">
      <c r="A1510" s="25"/>
      <c r="B1510" s="25"/>
      <c r="C1510" s="25"/>
      <c r="D1510" s="25"/>
      <c r="E1510" s="24"/>
    </row>
    <row r="1511" spans="1:5">
      <c r="A1511" s="25"/>
      <c r="B1511" s="25"/>
      <c r="C1511" s="25"/>
      <c r="D1511" s="25"/>
      <c r="E1511" s="24"/>
    </row>
    <row r="1512" spans="1:5">
      <c r="A1512" s="25"/>
      <c r="B1512" s="25"/>
      <c r="C1512" s="25"/>
      <c r="D1512" s="25"/>
      <c r="E1512" s="24"/>
    </row>
    <row r="1513" spans="1:5">
      <c r="A1513" s="25"/>
      <c r="B1513" s="25"/>
      <c r="C1513" s="25"/>
      <c r="D1513" s="25"/>
      <c r="E1513" s="24"/>
    </row>
    <row r="1514" spans="1:5">
      <c r="A1514" s="25"/>
      <c r="B1514" s="25"/>
      <c r="C1514" s="25"/>
      <c r="D1514" s="25"/>
      <c r="E1514" s="24"/>
    </row>
    <row r="1515" spans="1:5">
      <c r="A1515" s="25"/>
      <c r="B1515" s="25"/>
      <c r="C1515" s="25"/>
      <c r="D1515" s="25"/>
      <c r="E1515" s="24"/>
    </row>
    <row r="1516" spans="1:5">
      <c r="A1516" s="25"/>
      <c r="B1516" s="25"/>
      <c r="C1516" s="25"/>
      <c r="D1516" s="25"/>
      <c r="E1516" s="24"/>
    </row>
    <row r="1517" spans="1:5">
      <c r="A1517" s="25"/>
      <c r="B1517" s="25"/>
      <c r="C1517" s="25"/>
      <c r="D1517" s="25"/>
      <c r="E1517" s="24"/>
    </row>
    <row r="1518" spans="1:5">
      <c r="A1518" s="25"/>
      <c r="B1518" s="25"/>
      <c r="C1518" s="25"/>
      <c r="D1518" s="25"/>
      <c r="E1518" s="24"/>
    </row>
    <row r="1519" spans="1:5">
      <c r="A1519" s="25"/>
      <c r="B1519" s="25"/>
      <c r="C1519" s="25"/>
      <c r="D1519" s="25"/>
      <c r="E1519" s="24"/>
    </row>
    <row r="1520" spans="1:5">
      <c r="A1520" s="25"/>
      <c r="B1520" s="25"/>
      <c r="C1520" s="25"/>
      <c r="D1520" s="25"/>
      <c r="E1520" s="24"/>
    </row>
    <row r="1521" spans="1:5">
      <c r="A1521" s="25"/>
      <c r="B1521" s="25"/>
      <c r="C1521" s="25"/>
      <c r="D1521" s="25"/>
      <c r="E1521" s="24"/>
    </row>
    <row r="1522" spans="1:5">
      <c r="A1522" s="25"/>
      <c r="B1522" s="25"/>
      <c r="C1522" s="25"/>
      <c r="D1522" s="25"/>
      <c r="E1522" s="24"/>
    </row>
    <row r="1523" spans="1:5">
      <c r="A1523" s="25"/>
      <c r="B1523" s="25"/>
      <c r="C1523" s="25"/>
      <c r="D1523" s="25"/>
      <c r="E1523" s="24"/>
    </row>
    <row r="1524" spans="1:5">
      <c r="A1524" s="25"/>
      <c r="B1524" s="25"/>
      <c r="C1524" s="25"/>
      <c r="D1524" s="25"/>
      <c r="E1524" s="24"/>
    </row>
    <row r="1525" spans="1:5">
      <c r="A1525" s="25"/>
      <c r="B1525" s="25"/>
      <c r="C1525" s="25"/>
      <c r="D1525" s="25"/>
      <c r="E1525" s="24"/>
    </row>
    <row r="1526" spans="1:5">
      <c r="A1526" s="25"/>
      <c r="B1526" s="25"/>
      <c r="C1526" s="25"/>
      <c r="D1526" s="25"/>
      <c r="E1526" s="24"/>
    </row>
    <row r="1527" spans="1:5">
      <c r="A1527" s="25"/>
      <c r="B1527" s="25"/>
      <c r="C1527" s="25"/>
      <c r="D1527" s="25"/>
      <c r="E1527" s="24"/>
    </row>
    <row r="1528" spans="1:5">
      <c r="A1528" s="25"/>
      <c r="B1528" s="25"/>
      <c r="C1528" s="25"/>
      <c r="D1528" s="25"/>
      <c r="E1528" s="24"/>
    </row>
    <row r="1529" spans="1:5">
      <c r="A1529" s="25"/>
      <c r="B1529" s="25"/>
      <c r="C1529" s="25"/>
      <c r="D1529" s="25"/>
      <c r="E1529" s="24"/>
    </row>
    <row r="1530" spans="1:5">
      <c r="A1530" s="25"/>
      <c r="B1530" s="25"/>
      <c r="C1530" s="25"/>
      <c r="D1530" s="25"/>
      <c r="E1530" s="24"/>
    </row>
    <row r="1531" spans="1:5">
      <c r="A1531" s="25"/>
      <c r="B1531" s="25"/>
      <c r="C1531" s="25"/>
      <c r="D1531" s="25"/>
      <c r="E1531" s="24"/>
    </row>
    <row r="1532" spans="1:5">
      <c r="A1532" s="25"/>
      <c r="B1532" s="25"/>
      <c r="C1532" s="25"/>
      <c r="D1532" s="25"/>
      <c r="E1532" s="24"/>
    </row>
    <row r="1533" spans="1:5">
      <c r="A1533" s="25"/>
      <c r="B1533" s="25"/>
      <c r="C1533" s="25"/>
      <c r="D1533" s="25"/>
      <c r="E1533" s="24"/>
    </row>
    <row r="1534" spans="1:5">
      <c r="A1534" s="25"/>
      <c r="B1534" s="25"/>
      <c r="C1534" s="25"/>
      <c r="D1534" s="25"/>
      <c r="E1534" s="24"/>
    </row>
    <row r="1535" spans="1:5">
      <c r="A1535" s="25"/>
      <c r="B1535" s="25"/>
      <c r="C1535" s="25"/>
      <c r="D1535" s="25"/>
      <c r="E1535" s="24"/>
    </row>
    <row r="1536" spans="1:5">
      <c r="A1536" s="25"/>
      <c r="B1536" s="25"/>
      <c r="C1536" s="25"/>
      <c r="D1536" s="25"/>
      <c r="E1536" s="24"/>
    </row>
    <row r="1537" spans="1:5">
      <c r="A1537" s="25"/>
      <c r="B1537" s="25"/>
      <c r="C1537" s="25"/>
      <c r="D1537" s="25"/>
      <c r="E1537" s="24"/>
    </row>
    <row r="1538" spans="1:5">
      <c r="A1538" s="25"/>
      <c r="B1538" s="25"/>
      <c r="C1538" s="25"/>
      <c r="D1538" s="25"/>
      <c r="E1538" s="24"/>
    </row>
    <row r="1539" spans="1:5">
      <c r="A1539" s="25"/>
      <c r="B1539" s="25"/>
      <c r="C1539" s="25"/>
      <c r="D1539" s="25"/>
      <c r="E1539" s="24"/>
    </row>
    <row r="1540" spans="1:5">
      <c r="A1540" s="25"/>
      <c r="B1540" s="25"/>
      <c r="C1540" s="25"/>
      <c r="D1540" s="25"/>
      <c r="E1540" s="24"/>
    </row>
    <row r="1541" spans="1:5">
      <c r="A1541" s="25"/>
      <c r="B1541" s="25"/>
      <c r="C1541" s="25"/>
      <c r="D1541" s="25"/>
      <c r="E1541" s="24"/>
    </row>
    <row r="1542" spans="1:5">
      <c r="A1542" s="25"/>
      <c r="B1542" s="25"/>
      <c r="C1542" s="25"/>
      <c r="D1542" s="25"/>
      <c r="E1542" s="24"/>
    </row>
    <row r="1543" spans="1:5">
      <c r="A1543" s="25"/>
      <c r="B1543" s="25"/>
      <c r="C1543" s="25"/>
      <c r="D1543" s="25"/>
      <c r="E1543" s="24"/>
    </row>
    <row r="1544" spans="1:5">
      <c r="A1544" s="25"/>
      <c r="B1544" s="25"/>
      <c r="C1544" s="25"/>
      <c r="D1544" s="25"/>
      <c r="E1544" s="24"/>
    </row>
    <row r="1545" spans="1:5">
      <c r="A1545" s="25"/>
      <c r="B1545" s="25"/>
      <c r="C1545" s="25"/>
      <c r="D1545" s="25"/>
      <c r="E1545" s="24"/>
    </row>
    <row r="1546" spans="1:5">
      <c r="A1546" s="25"/>
      <c r="B1546" s="25"/>
      <c r="C1546" s="25"/>
      <c r="D1546" s="25"/>
      <c r="E1546" s="24"/>
    </row>
    <row r="1547" spans="1:5">
      <c r="A1547" s="25"/>
      <c r="B1547" s="25"/>
      <c r="C1547" s="25"/>
      <c r="D1547" s="25"/>
      <c r="E1547" s="24"/>
    </row>
    <row r="1548" spans="1:5">
      <c r="A1548" s="25"/>
      <c r="B1548" s="25"/>
      <c r="C1548" s="25"/>
      <c r="D1548" s="25"/>
      <c r="E1548" s="24"/>
    </row>
    <row r="1549" spans="1:5">
      <c r="A1549" s="25"/>
      <c r="B1549" s="25"/>
      <c r="C1549" s="25"/>
      <c r="D1549" s="25"/>
      <c r="E1549" s="24"/>
    </row>
    <row r="1550" spans="1:5">
      <c r="A1550" s="25"/>
      <c r="B1550" s="25"/>
      <c r="C1550" s="25"/>
      <c r="D1550" s="25"/>
      <c r="E1550" s="24"/>
    </row>
    <row r="1551" spans="1:5">
      <c r="A1551" s="25"/>
      <c r="B1551" s="25"/>
      <c r="C1551" s="25"/>
      <c r="D1551" s="25"/>
      <c r="E1551" s="24"/>
    </row>
    <row r="1552" spans="1:5">
      <c r="A1552" s="25"/>
      <c r="B1552" s="25"/>
      <c r="C1552" s="25"/>
      <c r="D1552" s="25"/>
      <c r="E1552" s="24"/>
    </row>
    <row r="1553" spans="1:5">
      <c r="A1553" s="25"/>
      <c r="B1553" s="25"/>
      <c r="C1553" s="25"/>
      <c r="D1553" s="25"/>
      <c r="E1553" s="24"/>
    </row>
    <row r="1554" spans="1:5">
      <c r="A1554" s="25"/>
      <c r="B1554" s="25"/>
      <c r="C1554" s="25"/>
      <c r="D1554" s="25"/>
      <c r="E1554" s="24"/>
    </row>
    <row r="1555" spans="1:5">
      <c r="A1555" s="25"/>
      <c r="B1555" s="25"/>
      <c r="C1555" s="25"/>
      <c r="D1555" s="25"/>
      <c r="E1555" s="24"/>
    </row>
    <row r="1556" spans="1:5">
      <c r="A1556" s="25"/>
      <c r="B1556" s="25"/>
      <c r="C1556" s="25"/>
      <c r="D1556" s="25"/>
      <c r="E1556" s="24"/>
    </row>
    <row r="1557" spans="1:5">
      <c r="A1557" s="25"/>
      <c r="B1557" s="25"/>
      <c r="C1557" s="25"/>
      <c r="D1557" s="25"/>
      <c r="E1557" s="24"/>
    </row>
    <row r="1558" spans="1:5">
      <c r="A1558" s="25"/>
      <c r="B1558" s="25"/>
      <c r="C1558" s="25"/>
      <c r="D1558" s="25"/>
      <c r="E1558" s="24"/>
    </row>
    <row r="1559" spans="1:5">
      <c r="A1559" s="25"/>
      <c r="B1559" s="25"/>
      <c r="C1559" s="25"/>
      <c r="D1559" s="25"/>
      <c r="E1559" s="24"/>
    </row>
    <row r="1560" spans="1:5">
      <c r="A1560" s="25"/>
      <c r="B1560" s="25"/>
      <c r="C1560" s="25"/>
      <c r="D1560" s="25"/>
      <c r="E1560" s="24"/>
    </row>
    <row r="1561" spans="1:5">
      <c r="A1561" s="25"/>
      <c r="B1561" s="25"/>
      <c r="C1561" s="25"/>
      <c r="D1561" s="25"/>
      <c r="E1561" s="24"/>
    </row>
    <row r="1562" spans="1:5">
      <c r="A1562" s="25"/>
      <c r="B1562" s="25"/>
      <c r="C1562" s="25"/>
      <c r="D1562" s="25"/>
      <c r="E1562" s="24"/>
    </row>
    <row r="1563" spans="1:5">
      <c r="A1563" s="25"/>
      <c r="B1563" s="25"/>
      <c r="C1563" s="25"/>
      <c r="D1563" s="25"/>
      <c r="E1563" s="24"/>
    </row>
    <row r="1564" spans="1:5">
      <c r="A1564" s="25"/>
      <c r="B1564" s="25"/>
      <c r="C1564" s="25"/>
      <c r="D1564" s="25"/>
      <c r="E1564" s="24"/>
    </row>
    <row r="1565" spans="1:5">
      <c r="A1565" s="25"/>
      <c r="B1565" s="25"/>
      <c r="C1565" s="25"/>
      <c r="D1565" s="25"/>
      <c r="E1565" s="24"/>
    </row>
    <row r="1566" spans="1:5">
      <c r="A1566" s="25"/>
      <c r="B1566" s="25"/>
      <c r="C1566" s="25"/>
      <c r="D1566" s="25"/>
      <c r="E1566" s="24"/>
    </row>
    <row r="1567" spans="1:5">
      <c r="A1567" s="25"/>
      <c r="B1567" s="25"/>
      <c r="C1567" s="25"/>
      <c r="D1567" s="25"/>
      <c r="E1567" s="24"/>
    </row>
    <row r="1568" spans="1:5">
      <c r="A1568" s="25"/>
      <c r="B1568" s="25"/>
      <c r="C1568" s="25"/>
      <c r="D1568" s="25"/>
      <c r="E1568" s="24"/>
    </row>
    <row r="1569" spans="1:5">
      <c r="A1569" s="25"/>
      <c r="B1569" s="25"/>
      <c r="C1569" s="25"/>
      <c r="D1569" s="25"/>
      <c r="E1569" s="24"/>
    </row>
    <row r="1570" spans="1:5">
      <c r="A1570" s="25"/>
      <c r="B1570" s="25"/>
      <c r="C1570" s="25"/>
      <c r="D1570" s="25"/>
      <c r="E1570" s="24"/>
    </row>
    <row r="1571" spans="1:5">
      <c r="A1571" s="25"/>
      <c r="B1571" s="25"/>
      <c r="C1571" s="25"/>
      <c r="D1571" s="25"/>
      <c r="E1571" s="24"/>
    </row>
    <row r="1572" spans="1:5">
      <c r="A1572" s="25"/>
      <c r="B1572" s="25"/>
      <c r="C1572" s="25"/>
      <c r="D1572" s="25"/>
      <c r="E1572" s="24"/>
    </row>
    <row r="1573" spans="1:5">
      <c r="A1573" s="25"/>
      <c r="B1573" s="25"/>
      <c r="C1573" s="25"/>
      <c r="D1573" s="25"/>
      <c r="E1573" s="24"/>
    </row>
    <row r="1574" spans="1:5">
      <c r="A1574" s="25"/>
      <c r="B1574" s="25"/>
      <c r="C1574" s="25"/>
      <c r="D1574" s="25"/>
      <c r="E1574" s="24"/>
    </row>
    <row r="1575" spans="1:5">
      <c r="A1575" s="25"/>
      <c r="B1575" s="25"/>
      <c r="C1575" s="25"/>
      <c r="D1575" s="25"/>
      <c r="E1575" s="24"/>
    </row>
    <row r="1576" spans="1:5">
      <c r="A1576" s="25"/>
      <c r="B1576" s="25"/>
      <c r="C1576" s="25"/>
      <c r="D1576" s="25"/>
      <c r="E1576" s="24"/>
    </row>
    <row r="1577" spans="1:5">
      <c r="A1577" s="25"/>
      <c r="B1577" s="25"/>
      <c r="C1577" s="25"/>
      <c r="D1577" s="25"/>
      <c r="E1577" s="24"/>
    </row>
    <row r="1578" spans="1:5">
      <c r="A1578" s="25"/>
      <c r="B1578" s="25"/>
      <c r="C1578" s="25"/>
      <c r="D1578" s="25"/>
      <c r="E1578" s="24"/>
    </row>
    <row r="1579" spans="1:5">
      <c r="A1579" s="25"/>
      <c r="B1579" s="25"/>
      <c r="C1579" s="25"/>
      <c r="D1579" s="25"/>
      <c r="E1579" s="24"/>
    </row>
    <row r="1580" spans="1:5">
      <c r="A1580" s="25"/>
      <c r="B1580" s="25"/>
      <c r="C1580" s="25"/>
      <c r="D1580" s="25"/>
      <c r="E1580" s="24"/>
    </row>
    <row r="1581" spans="1:5">
      <c r="A1581" s="25"/>
      <c r="B1581" s="25"/>
      <c r="C1581" s="25"/>
      <c r="D1581" s="25"/>
      <c r="E1581" s="24"/>
    </row>
    <row r="1582" spans="1:5">
      <c r="A1582" s="25"/>
      <c r="B1582" s="25"/>
      <c r="C1582" s="25"/>
      <c r="D1582" s="25"/>
      <c r="E1582" s="24"/>
    </row>
    <row r="1583" spans="1:5">
      <c r="A1583" s="25"/>
      <c r="B1583" s="25"/>
      <c r="C1583" s="25"/>
      <c r="D1583" s="25"/>
      <c r="E1583" s="24"/>
    </row>
    <row r="1584" spans="1:5">
      <c r="A1584" s="25"/>
      <c r="B1584" s="25"/>
      <c r="C1584" s="25"/>
      <c r="D1584" s="25"/>
      <c r="E1584" s="24"/>
    </row>
    <row r="1585" spans="1:5">
      <c r="A1585" s="25"/>
      <c r="B1585" s="25"/>
      <c r="C1585" s="25"/>
      <c r="D1585" s="25"/>
      <c r="E1585" s="24"/>
    </row>
    <row r="1586" spans="1:5">
      <c r="A1586" s="25"/>
      <c r="B1586" s="25"/>
      <c r="C1586" s="25"/>
      <c r="D1586" s="25"/>
      <c r="E1586" s="24"/>
    </row>
    <row r="1587" spans="1:5">
      <c r="A1587" s="25"/>
      <c r="B1587" s="25"/>
      <c r="C1587" s="25"/>
      <c r="D1587" s="25"/>
      <c r="E1587" s="24"/>
    </row>
    <row r="1588" spans="1:5">
      <c r="A1588" s="25"/>
      <c r="B1588" s="25"/>
      <c r="C1588" s="25"/>
      <c r="D1588" s="25"/>
      <c r="E1588" s="24"/>
    </row>
    <row r="1589" spans="1:5">
      <c r="A1589" s="25"/>
      <c r="B1589" s="25"/>
      <c r="C1589" s="25"/>
      <c r="D1589" s="25"/>
      <c r="E1589" s="24"/>
    </row>
    <row r="1590" spans="1:5">
      <c r="A1590" s="25"/>
      <c r="B1590" s="25"/>
      <c r="C1590" s="25"/>
      <c r="D1590" s="25"/>
      <c r="E1590" s="24"/>
    </row>
    <row r="1591" spans="1:5">
      <c r="A1591" s="25"/>
      <c r="B1591" s="25"/>
      <c r="C1591" s="25"/>
      <c r="D1591" s="25"/>
      <c r="E1591" s="24"/>
    </row>
    <row r="1592" spans="1:5">
      <c r="A1592" s="25"/>
      <c r="B1592" s="25"/>
      <c r="C1592" s="25"/>
      <c r="D1592" s="25"/>
      <c r="E1592" s="24"/>
    </row>
    <row r="1593" spans="1:5">
      <c r="A1593" s="25"/>
      <c r="B1593" s="25"/>
      <c r="C1593" s="25"/>
      <c r="D1593" s="25"/>
      <c r="E1593" s="24"/>
    </row>
    <row r="1594" spans="1:5">
      <c r="A1594" s="25"/>
      <c r="B1594" s="25"/>
      <c r="C1594" s="25"/>
      <c r="D1594" s="25"/>
      <c r="E1594" s="24"/>
    </row>
    <row r="1595" spans="1:5">
      <c r="A1595" s="25"/>
      <c r="B1595" s="25"/>
      <c r="C1595" s="25"/>
      <c r="D1595" s="25"/>
      <c r="E1595" s="24"/>
    </row>
    <row r="1596" spans="1:5">
      <c r="A1596" s="25"/>
      <c r="B1596" s="25"/>
      <c r="C1596" s="25"/>
      <c r="D1596" s="25"/>
      <c r="E1596" s="24"/>
    </row>
    <row r="1597" spans="1:5">
      <c r="A1597" s="25"/>
      <c r="B1597" s="25"/>
      <c r="C1597" s="25"/>
      <c r="D1597" s="25"/>
      <c r="E1597" s="24"/>
    </row>
    <row r="1598" spans="1:5">
      <c r="A1598" s="25"/>
      <c r="B1598" s="25"/>
      <c r="C1598" s="25"/>
      <c r="D1598" s="25"/>
      <c r="E1598" s="24"/>
    </row>
    <row r="1599" spans="1:5">
      <c r="A1599" s="25"/>
      <c r="B1599" s="25"/>
      <c r="C1599" s="25"/>
      <c r="D1599" s="25"/>
      <c r="E1599" s="24"/>
    </row>
    <row r="1600" spans="1:5">
      <c r="A1600" s="25"/>
      <c r="B1600" s="25"/>
      <c r="C1600" s="25"/>
      <c r="D1600" s="25"/>
      <c r="E1600" s="24"/>
    </row>
    <row r="1601" spans="1:5">
      <c r="A1601" s="25"/>
      <c r="B1601" s="25"/>
      <c r="C1601" s="25"/>
      <c r="D1601" s="25"/>
      <c r="E1601" s="24"/>
    </row>
    <row r="1602" spans="1:5">
      <c r="A1602" s="25"/>
      <c r="B1602" s="25"/>
      <c r="C1602" s="25"/>
      <c r="D1602" s="25"/>
      <c r="E1602" s="24"/>
    </row>
    <row r="1603" spans="1:5">
      <c r="A1603" s="25"/>
      <c r="B1603" s="25"/>
      <c r="C1603" s="25"/>
      <c r="D1603" s="25"/>
      <c r="E1603" s="24"/>
    </row>
    <row r="1604" spans="1:5">
      <c r="A1604" s="25"/>
      <c r="B1604" s="25"/>
      <c r="C1604" s="25"/>
      <c r="D1604" s="25"/>
      <c r="E1604" s="24"/>
    </row>
    <row r="1605" spans="1:5">
      <c r="A1605" s="25"/>
      <c r="B1605" s="25"/>
      <c r="C1605" s="25"/>
      <c r="D1605" s="25"/>
      <c r="E1605" s="24"/>
    </row>
    <row r="1606" spans="1:5">
      <c r="A1606" s="25"/>
      <c r="B1606" s="25"/>
      <c r="C1606" s="25"/>
      <c r="D1606" s="25"/>
      <c r="E1606" s="24"/>
    </row>
    <row r="1607" spans="1:5">
      <c r="A1607" s="25"/>
      <c r="B1607" s="25"/>
      <c r="C1607" s="25"/>
      <c r="D1607" s="25"/>
      <c r="E1607" s="24"/>
    </row>
    <row r="1608" spans="1:5">
      <c r="A1608" s="25"/>
      <c r="B1608" s="25"/>
      <c r="C1608" s="25"/>
      <c r="D1608" s="25"/>
      <c r="E1608" s="24"/>
    </row>
    <row r="1609" spans="1:5">
      <c r="A1609" s="25"/>
      <c r="B1609" s="25"/>
      <c r="C1609" s="25"/>
      <c r="D1609" s="25"/>
      <c r="E1609" s="24"/>
    </row>
    <row r="1610" spans="1:5">
      <c r="A1610" s="25"/>
      <c r="B1610" s="25"/>
      <c r="C1610" s="25"/>
      <c r="D1610" s="25"/>
      <c r="E1610" s="24"/>
    </row>
    <row r="1611" spans="1:5">
      <c r="A1611" s="25"/>
      <c r="B1611" s="25"/>
      <c r="C1611" s="25"/>
      <c r="D1611" s="25"/>
      <c r="E1611" s="24"/>
    </row>
    <row r="1612" spans="1:5">
      <c r="A1612" s="25"/>
      <c r="B1612" s="25"/>
      <c r="C1612" s="25"/>
      <c r="D1612" s="25"/>
      <c r="E1612" s="24"/>
    </row>
    <row r="1613" spans="1:5">
      <c r="A1613" s="25"/>
      <c r="B1613" s="25"/>
      <c r="C1613" s="25"/>
      <c r="D1613" s="25"/>
      <c r="E1613" s="24"/>
    </row>
    <row r="1614" spans="1:5">
      <c r="A1614" s="25"/>
      <c r="B1614" s="25"/>
      <c r="C1614" s="25"/>
      <c r="D1614" s="25"/>
      <c r="E1614" s="24"/>
    </row>
    <row r="1615" spans="1:5">
      <c r="A1615" s="25"/>
      <c r="B1615" s="25"/>
      <c r="C1615" s="25"/>
      <c r="D1615" s="25"/>
      <c r="E1615" s="24"/>
    </row>
    <row r="1616" spans="1:5">
      <c r="A1616" s="25"/>
      <c r="B1616" s="25"/>
      <c r="C1616" s="25"/>
      <c r="D1616" s="25"/>
      <c r="E1616" s="24"/>
    </row>
    <row r="1617" spans="1:5">
      <c r="A1617" s="25"/>
      <c r="B1617" s="25"/>
      <c r="C1617" s="25"/>
      <c r="D1617" s="25"/>
      <c r="E1617" s="24"/>
    </row>
    <row r="1618" spans="1:5">
      <c r="A1618" s="25"/>
      <c r="B1618" s="25"/>
      <c r="C1618" s="25"/>
      <c r="D1618" s="25"/>
      <c r="E1618" s="24"/>
    </row>
    <row r="1619" spans="1:5">
      <c r="A1619" s="25"/>
      <c r="B1619" s="25"/>
      <c r="C1619" s="25"/>
      <c r="D1619" s="25"/>
      <c r="E1619" s="24"/>
    </row>
    <row r="1620" spans="1:5">
      <c r="A1620" s="25"/>
      <c r="B1620" s="25"/>
      <c r="C1620" s="25"/>
      <c r="D1620" s="25"/>
      <c r="E1620" s="24"/>
    </row>
    <row r="1621" spans="1:5">
      <c r="A1621" s="25"/>
      <c r="B1621" s="25"/>
      <c r="C1621" s="25"/>
      <c r="D1621" s="25"/>
      <c r="E1621" s="24"/>
    </row>
    <row r="1622" spans="1:5">
      <c r="A1622" s="25"/>
      <c r="B1622" s="25"/>
      <c r="C1622" s="25"/>
      <c r="D1622" s="25"/>
      <c r="E1622" s="24"/>
    </row>
    <row r="1623" spans="1:5">
      <c r="A1623" s="25"/>
      <c r="B1623" s="25"/>
      <c r="C1623" s="25"/>
      <c r="D1623" s="25"/>
      <c r="E1623" s="24"/>
    </row>
    <row r="1624" spans="1:5">
      <c r="A1624" s="25"/>
      <c r="B1624" s="25"/>
      <c r="C1624" s="25"/>
      <c r="D1624" s="25"/>
      <c r="E1624" s="24"/>
    </row>
    <row r="1625" spans="1:5">
      <c r="A1625" s="25"/>
      <c r="B1625" s="25"/>
      <c r="C1625" s="25"/>
      <c r="D1625" s="25"/>
      <c r="E1625" s="24"/>
    </row>
    <row r="1626" spans="1:5">
      <c r="A1626" s="25"/>
      <c r="B1626" s="25"/>
      <c r="C1626" s="25"/>
      <c r="D1626" s="25"/>
      <c r="E1626" s="24"/>
    </row>
    <row r="1627" spans="1:5">
      <c r="A1627" s="25"/>
      <c r="B1627" s="25"/>
      <c r="C1627" s="25"/>
      <c r="D1627" s="25"/>
      <c r="E1627" s="24"/>
    </row>
    <row r="1628" spans="1:5">
      <c r="A1628" s="25"/>
      <c r="B1628" s="25"/>
      <c r="C1628" s="25"/>
      <c r="D1628" s="25"/>
      <c r="E1628" s="24"/>
    </row>
    <row r="1629" spans="1:5">
      <c r="A1629" s="25"/>
      <c r="B1629" s="25"/>
      <c r="C1629" s="25"/>
      <c r="D1629" s="25"/>
      <c r="E1629" s="24"/>
    </row>
    <row r="1630" spans="1:5">
      <c r="A1630" s="25"/>
      <c r="B1630" s="25"/>
      <c r="C1630" s="25"/>
      <c r="D1630" s="25"/>
      <c r="E1630" s="24"/>
    </row>
    <row r="1631" spans="1:5">
      <c r="A1631" s="25"/>
      <c r="B1631" s="25"/>
      <c r="C1631" s="25"/>
      <c r="D1631" s="25"/>
      <c r="E1631" s="24"/>
    </row>
    <row r="1632" spans="1:5">
      <c r="A1632" s="25"/>
      <c r="B1632" s="25"/>
      <c r="C1632" s="25"/>
      <c r="D1632" s="25"/>
      <c r="E1632" s="24"/>
    </row>
    <row r="1633" spans="1:5">
      <c r="A1633" s="25"/>
      <c r="B1633" s="25"/>
      <c r="C1633" s="25"/>
      <c r="D1633" s="25"/>
      <c r="E1633" s="24"/>
    </row>
    <row r="1634" spans="1:5">
      <c r="A1634" s="25"/>
      <c r="B1634" s="25"/>
      <c r="C1634" s="25"/>
      <c r="D1634" s="25"/>
      <c r="E1634" s="24"/>
    </row>
    <row r="1635" spans="1:5">
      <c r="A1635" s="25"/>
      <c r="B1635" s="25"/>
      <c r="C1635" s="25"/>
      <c r="D1635" s="25"/>
      <c r="E1635" s="24"/>
    </row>
    <row r="1636" spans="1:5">
      <c r="A1636" s="25"/>
      <c r="B1636" s="25"/>
      <c r="C1636" s="25"/>
      <c r="D1636" s="25"/>
      <c r="E1636" s="24"/>
    </row>
    <row r="1637" spans="1:5">
      <c r="A1637" s="25"/>
      <c r="B1637" s="25"/>
      <c r="C1637" s="25"/>
      <c r="D1637" s="25"/>
      <c r="E1637" s="24"/>
    </row>
    <row r="1638" spans="1:5">
      <c r="A1638" s="25"/>
      <c r="B1638" s="25"/>
      <c r="C1638" s="25"/>
      <c r="D1638" s="25"/>
      <c r="E1638" s="24"/>
    </row>
    <row r="1639" spans="1:5">
      <c r="A1639" s="25"/>
      <c r="B1639" s="25"/>
      <c r="C1639" s="25"/>
      <c r="D1639" s="25"/>
      <c r="E1639" s="24"/>
    </row>
    <row r="1640" spans="1:5">
      <c r="A1640" s="25"/>
      <c r="B1640" s="25"/>
      <c r="C1640" s="25"/>
      <c r="D1640" s="25"/>
      <c r="E1640" s="24"/>
    </row>
    <row r="1641" spans="1:5">
      <c r="A1641" s="25"/>
      <c r="B1641" s="25"/>
      <c r="C1641" s="25"/>
      <c r="D1641" s="25"/>
      <c r="E1641" s="24"/>
    </row>
    <row r="1642" spans="1:5">
      <c r="A1642" s="25"/>
      <c r="B1642" s="25"/>
      <c r="C1642" s="25"/>
      <c r="D1642" s="25"/>
      <c r="E1642" s="24"/>
    </row>
    <row r="1643" spans="1:5">
      <c r="A1643" s="25"/>
      <c r="B1643" s="25"/>
      <c r="C1643" s="25"/>
      <c r="D1643" s="25"/>
      <c r="E1643" s="24"/>
    </row>
    <row r="1644" spans="1:5">
      <c r="A1644" s="25"/>
      <c r="B1644" s="25"/>
      <c r="C1644" s="25"/>
      <c r="D1644" s="25"/>
      <c r="E1644" s="24"/>
    </row>
    <row r="1645" spans="1:5">
      <c r="A1645" s="25"/>
      <c r="B1645" s="25"/>
      <c r="C1645" s="25"/>
      <c r="D1645" s="25"/>
      <c r="E1645" s="24"/>
    </row>
    <row r="1646" spans="1:5">
      <c r="A1646" s="25"/>
      <c r="B1646" s="25"/>
      <c r="C1646" s="25"/>
      <c r="D1646" s="25"/>
      <c r="E1646" s="24"/>
    </row>
    <row r="1647" spans="1:5">
      <c r="A1647" s="25"/>
      <c r="B1647" s="25"/>
      <c r="C1647" s="25"/>
      <c r="D1647" s="25"/>
      <c r="E1647" s="24"/>
    </row>
    <row r="1648" spans="1:5">
      <c r="A1648" s="25"/>
      <c r="B1648" s="25"/>
      <c r="C1648" s="25"/>
      <c r="D1648" s="25"/>
      <c r="E1648" s="24"/>
    </row>
    <row r="1649" spans="1:5">
      <c r="A1649" s="25"/>
      <c r="B1649" s="25"/>
      <c r="C1649" s="25"/>
      <c r="D1649" s="25"/>
      <c r="E1649" s="24"/>
    </row>
    <row r="1650" spans="1:5">
      <c r="A1650" s="25"/>
      <c r="B1650" s="25"/>
      <c r="C1650" s="25"/>
      <c r="D1650" s="25"/>
      <c r="E1650" s="24"/>
    </row>
    <row r="1651" spans="1:5">
      <c r="A1651" s="25"/>
      <c r="B1651" s="25"/>
      <c r="C1651" s="25"/>
      <c r="D1651" s="25"/>
      <c r="E1651" s="24"/>
    </row>
    <row r="1652" spans="1:5">
      <c r="A1652" s="25"/>
      <c r="B1652" s="25"/>
      <c r="C1652" s="25"/>
      <c r="D1652" s="25"/>
      <c r="E1652" s="24"/>
    </row>
    <row r="1653" spans="1:5">
      <c r="A1653" s="25"/>
      <c r="B1653" s="25"/>
      <c r="C1653" s="25"/>
      <c r="D1653" s="25"/>
      <c r="E1653" s="24"/>
    </row>
    <row r="1654" spans="1:5">
      <c r="A1654" s="25"/>
      <c r="B1654" s="25"/>
      <c r="C1654" s="25"/>
      <c r="D1654" s="25"/>
      <c r="E1654" s="24"/>
    </row>
    <row r="1655" spans="1:5">
      <c r="A1655" s="25"/>
      <c r="B1655" s="25"/>
      <c r="C1655" s="25"/>
      <c r="D1655" s="25"/>
      <c r="E1655" s="24"/>
    </row>
    <row r="1656" spans="1:5">
      <c r="A1656" s="25"/>
      <c r="B1656" s="25"/>
      <c r="C1656" s="25"/>
      <c r="D1656" s="25"/>
      <c r="E1656" s="24"/>
    </row>
    <row r="1657" spans="1:5">
      <c r="A1657" s="25"/>
      <c r="B1657" s="25"/>
      <c r="C1657" s="25"/>
      <c r="D1657" s="25"/>
      <c r="E1657" s="24"/>
    </row>
    <row r="1658" spans="1:5">
      <c r="A1658" s="25"/>
      <c r="B1658" s="25"/>
      <c r="C1658" s="25"/>
      <c r="D1658" s="25"/>
      <c r="E1658" s="24"/>
    </row>
    <row r="1659" spans="1:5">
      <c r="A1659" s="25"/>
      <c r="B1659" s="25"/>
      <c r="C1659" s="25"/>
      <c r="D1659" s="25"/>
      <c r="E1659" s="24"/>
    </row>
    <row r="1660" spans="1:5">
      <c r="A1660" s="25"/>
      <c r="B1660" s="25"/>
      <c r="C1660" s="25"/>
      <c r="D1660" s="25"/>
      <c r="E1660" s="24"/>
    </row>
    <row r="1661" spans="1:5">
      <c r="A1661" s="25"/>
      <c r="B1661" s="25"/>
      <c r="C1661" s="25"/>
      <c r="D1661" s="25"/>
      <c r="E1661" s="24"/>
    </row>
    <row r="1662" spans="1:5">
      <c r="A1662" s="25"/>
      <c r="B1662" s="25"/>
      <c r="C1662" s="25"/>
      <c r="D1662" s="25"/>
      <c r="E1662" s="24"/>
    </row>
    <row r="1663" spans="1:5">
      <c r="A1663" s="25"/>
      <c r="B1663" s="25"/>
      <c r="C1663" s="25"/>
      <c r="D1663" s="25"/>
      <c r="E1663" s="24"/>
    </row>
    <row r="1664" spans="1:5">
      <c r="A1664" s="25"/>
      <c r="B1664" s="25"/>
      <c r="C1664" s="25"/>
      <c r="D1664" s="25"/>
      <c r="E1664" s="24"/>
    </row>
    <row r="1665" spans="1:5">
      <c r="A1665" s="25"/>
      <c r="B1665" s="25"/>
      <c r="C1665" s="25"/>
      <c r="D1665" s="25"/>
      <c r="E1665" s="24"/>
    </row>
    <row r="1666" spans="1:5">
      <c r="A1666" s="25"/>
      <c r="B1666" s="25"/>
      <c r="C1666" s="25"/>
      <c r="D1666" s="25"/>
      <c r="E1666" s="24"/>
    </row>
    <row r="1667" spans="1:5">
      <c r="A1667" s="25"/>
      <c r="B1667" s="25"/>
      <c r="C1667" s="25"/>
      <c r="D1667" s="25"/>
      <c r="E1667" s="24"/>
    </row>
    <row r="1668" spans="1:5">
      <c r="A1668" s="25"/>
      <c r="B1668" s="25"/>
      <c r="C1668" s="25"/>
      <c r="D1668" s="25"/>
      <c r="E1668" s="24"/>
    </row>
    <row r="1669" spans="1:5">
      <c r="A1669" s="25"/>
      <c r="B1669" s="25"/>
      <c r="C1669" s="25"/>
      <c r="D1669" s="25"/>
      <c r="E1669" s="24"/>
    </row>
    <row r="1670" spans="1:5">
      <c r="A1670" s="25"/>
      <c r="B1670" s="25"/>
      <c r="C1670" s="25"/>
      <c r="D1670" s="25"/>
      <c r="E1670" s="24"/>
    </row>
    <row r="1671" spans="1:5">
      <c r="A1671" s="25"/>
      <c r="B1671" s="25"/>
      <c r="C1671" s="25"/>
      <c r="D1671" s="25"/>
      <c r="E1671" s="24"/>
    </row>
    <row r="1672" spans="1:5">
      <c r="A1672" s="25"/>
      <c r="B1672" s="25"/>
      <c r="C1672" s="25"/>
      <c r="D1672" s="25"/>
      <c r="E1672" s="24"/>
    </row>
    <row r="1673" spans="1:5">
      <c r="A1673" s="25"/>
      <c r="B1673" s="25"/>
      <c r="C1673" s="25"/>
      <c r="D1673" s="25"/>
      <c r="E1673" s="24"/>
    </row>
    <row r="1674" spans="1:5">
      <c r="A1674" s="25"/>
      <c r="B1674" s="25"/>
      <c r="C1674" s="25"/>
      <c r="D1674" s="25"/>
      <c r="E1674" s="24"/>
    </row>
    <row r="1675" spans="1:5">
      <c r="A1675" s="25"/>
      <c r="B1675" s="25"/>
      <c r="C1675" s="25"/>
      <c r="D1675" s="25"/>
      <c r="E1675" s="24"/>
    </row>
    <row r="1676" spans="1:5">
      <c r="A1676" s="25"/>
      <c r="B1676" s="25"/>
      <c r="C1676" s="25"/>
      <c r="D1676" s="25"/>
      <c r="E1676" s="24"/>
    </row>
    <row r="1677" spans="1:5">
      <c r="A1677" s="25"/>
      <c r="B1677" s="25"/>
      <c r="C1677" s="25"/>
      <c r="D1677" s="25"/>
      <c r="E1677" s="24"/>
    </row>
    <row r="1678" spans="1:5">
      <c r="A1678" s="25"/>
      <c r="B1678" s="25"/>
      <c r="C1678" s="25"/>
      <c r="D1678" s="25"/>
      <c r="E1678" s="24"/>
    </row>
    <row r="1679" spans="1:5">
      <c r="A1679" s="25"/>
      <c r="B1679" s="25"/>
      <c r="C1679" s="25"/>
      <c r="D1679" s="25"/>
      <c r="E1679" s="24"/>
    </row>
    <row r="1680" spans="1:5">
      <c r="A1680" s="25"/>
      <c r="B1680" s="25"/>
      <c r="C1680" s="25"/>
      <c r="D1680" s="25"/>
      <c r="E1680" s="24"/>
    </row>
    <row r="1681" spans="1:5">
      <c r="A1681" s="25"/>
      <c r="B1681" s="25"/>
      <c r="C1681" s="25"/>
      <c r="D1681" s="25"/>
      <c r="E1681" s="24"/>
    </row>
    <row r="1682" spans="1:5">
      <c r="A1682" s="25"/>
      <c r="B1682" s="25"/>
      <c r="C1682" s="25"/>
      <c r="D1682" s="25"/>
      <c r="E1682" s="24"/>
    </row>
    <row r="1683" spans="1:5">
      <c r="A1683" s="25"/>
      <c r="B1683" s="25"/>
      <c r="C1683" s="25"/>
      <c r="D1683" s="25"/>
      <c r="E1683" s="24"/>
    </row>
    <row r="1684" spans="1:5">
      <c r="A1684" s="25"/>
      <c r="B1684" s="25"/>
      <c r="C1684" s="25"/>
      <c r="D1684" s="25"/>
      <c r="E1684" s="24"/>
    </row>
    <row r="1685" spans="1:5">
      <c r="A1685" s="25"/>
      <c r="B1685" s="25"/>
      <c r="C1685" s="25"/>
      <c r="D1685" s="25"/>
      <c r="E1685" s="24"/>
    </row>
    <row r="1686" spans="1:5">
      <c r="A1686" s="25"/>
      <c r="B1686" s="25"/>
      <c r="C1686" s="25"/>
      <c r="D1686" s="25"/>
      <c r="E1686" s="24"/>
    </row>
    <row r="1687" spans="1:5">
      <c r="A1687" s="25"/>
      <c r="B1687" s="25"/>
      <c r="C1687" s="25"/>
      <c r="D1687" s="25"/>
      <c r="E1687" s="24"/>
    </row>
    <row r="1688" spans="1:5">
      <c r="A1688" s="25"/>
      <c r="B1688" s="25"/>
      <c r="C1688" s="25"/>
      <c r="D1688" s="25"/>
      <c r="E1688" s="24"/>
    </row>
    <row r="1689" spans="1:5">
      <c r="A1689" s="25"/>
      <c r="B1689" s="25"/>
      <c r="C1689" s="25"/>
      <c r="D1689" s="25"/>
      <c r="E1689" s="24"/>
    </row>
    <row r="1690" spans="1:5">
      <c r="A1690" s="25"/>
      <c r="B1690" s="25"/>
      <c r="C1690" s="25"/>
      <c r="D1690" s="25"/>
      <c r="E1690" s="24"/>
    </row>
    <row r="1691" spans="1:5">
      <c r="A1691" s="25"/>
      <c r="B1691" s="25"/>
      <c r="C1691" s="25"/>
      <c r="D1691" s="25"/>
      <c r="E1691" s="24"/>
    </row>
    <row r="1692" spans="1:5">
      <c r="A1692" s="25"/>
      <c r="B1692" s="25"/>
      <c r="C1692" s="25"/>
      <c r="D1692" s="25"/>
      <c r="E1692" s="24"/>
    </row>
    <row r="1693" spans="1:5">
      <c r="A1693" s="25"/>
      <c r="B1693" s="25"/>
      <c r="C1693" s="25"/>
      <c r="D1693" s="25"/>
      <c r="E1693" s="24"/>
    </row>
    <row r="1694" spans="1:5">
      <c r="A1694" s="25"/>
      <c r="B1694" s="25"/>
      <c r="C1694" s="25"/>
      <c r="D1694" s="25"/>
      <c r="E1694" s="24"/>
    </row>
    <row r="1695" spans="1:5">
      <c r="A1695" s="25"/>
      <c r="B1695" s="25"/>
      <c r="C1695" s="25"/>
      <c r="D1695" s="25"/>
      <c r="E1695" s="24"/>
    </row>
    <row r="1696" spans="1:5">
      <c r="A1696" s="25"/>
      <c r="B1696" s="25"/>
      <c r="C1696" s="25"/>
      <c r="D1696" s="25"/>
      <c r="E1696" s="24"/>
    </row>
    <row r="1697" spans="1:5">
      <c r="A1697" s="25"/>
      <c r="B1697" s="25"/>
      <c r="C1697" s="25"/>
      <c r="D1697" s="25"/>
      <c r="E1697" s="24"/>
    </row>
    <row r="1698" spans="1:5">
      <c r="A1698" s="25"/>
      <c r="B1698" s="25"/>
      <c r="C1698" s="25"/>
      <c r="D1698" s="25"/>
      <c r="E1698" s="24"/>
    </row>
    <row r="1699" spans="1:5">
      <c r="A1699" s="25"/>
      <c r="B1699" s="25"/>
      <c r="C1699" s="25"/>
      <c r="D1699" s="25"/>
      <c r="E1699" s="24"/>
    </row>
    <row r="1700" spans="1:5">
      <c r="A1700" s="25"/>
      <c r="B1700" s="25"/>
      <c r="C1700" s="25"/>
      <c r="D1700" s="25"/>
      <c r="E1700" s="24"/>
    </row>
    <row r="1701" spans="1:5">
      <c r="A1701" s="25"/>
      <c r="B1701" s="25"/>
      <c r="C1701" s="25"/>
      <c r="D1701" s="25"/>
      <c r="E1701" s="24"/>
    </row>
    <row r="1702" spans="1:5">
      <c r="A1702" s="25"/>
      <c r="B1702" s="25"/>
      <c r="C1702" s="25"/>
      <c r="D1702" s="25"/>
      <c r="E1702" s="24"/>
    </row>
    <row r="1703" spans="1:5">
      <c r="A1703" s="25"/>
      <c r="B1703" s="25"/>
      <c r="C1703" s="25"/>
      <c r="D1703" s="25"/>
      <c r="E1703" s="24"/>
    </row>
    <row r="1704" spans="1:5">
      <c r="A1704" s="25"/>
      <c r="B1704" s="25"/>
      <c r="C1704" s="25"/>
      <c r="D1704" s="25"/>
      <c r="E1704" s="24"/>
    </row>
    <row r="1705" spans="1:5">
      <c r="A1705" s="25"/>
      <c r="B1705" s="25"/>
      <c r="C1705" s="25"/>
      <c r="D1705" s="25"/>
      <c r="E1705" s="24"/>
    </row>
    <row r="1706" spans="1:5">
      <c r="A1706" s="25"/>
      <c r="B1706" s="25"/>
      <c r="C1706" s="25"/>
      <c r="D1706" s="25"/>
      <c r="E1706" s="24"/>
    </row>
    <row r="1707" spans="1:5">
      <c r="A1707" s="25"/>
      <c r="B1707" s="25"/>
      <c r="C1707" s="25"/>
      <c r="D1707" s="25"/>
      <c r="E1707" s="24"/>
    </row>
    <row r="1708" spans="1:5">
      <c r="A1708" s="25"/>
      <c r="B1708" s="25"/>
      <c r="C1708" s="25"/>
      <c r="D1708" s="25"/>
      <c r="E1708" s="24"/>
    </row>
    <row r="1709" spans="1:5">
      <c r="A1709" s="25"/>
      <c r="B1709" s="25"/>
      <c r="C1709" s="25"/>
      <c r="D1709" s="25"/>
      <c r="E1709" s="24"/>
    </row>
    <row r="1710" spans="1:5">
      <c r="A1710" s="25"/>
      <c r="B1710" s="25"/>
      <c r="C1710" s="25"/>
      <c r="D1710" s="25"/>
      <c r="E1710" s="24"/>
    </row>
    <row r="1711" spans="1:5">
      <c r="A1711" s="25"/>
      <c r="B1711" s="25"/>
      <c r="C1711" s="25"/>
      <c r="D1711" s="25"/>
      <c r="E1711" s="24"/>
    </row>
    <row r="1712" spans="1:5">
      <c r="A1712" s="25"/>
      <c r="B1712" s="25"/>
      <c r="C1712" s="25"/>
      <c r="D1712" s="25"/>
      <c r="E1712" s="24"/>
    </row>
    <row r="1713" spans="1:5">
      <c r="A1713" s="25"/>
      <c r="B1713" s="25"/>
      <c r="C1713" s="25"/>
      <c r="D1713" s="25"/>
      <c r="E1713" s="24"/>
    </row>
    <row r="1714" spans="1:5">
      <c r="A1714" s="25"/>
      <c r="B1714" s="25"/>
      <c r="C1714" s="25"/>
      <c r="D1714" s="25"/>
      <c r="E1714" s="24"/>
    </row>
    <row r="1715" spans="1:5">
      <c r="A1715" s="25"/>
      <c r="B1715" s="25"/>
      <c r="C1715" s="25"/>
      <c r="D1715" s="25"/>
      <c r="E1715" s="24"/>
    </row>
    <row r="1716" spans="1:5">
      <c r="A1716" s="25"/>
      <c r="B1716" s="25"/>
      <c r="C1716" s="25"/>
      <c r="D1716" s="25"/>
      <c r="E1716" s="24"/>
    </row>
    <row r="1717" spans="1:5">
      <c r="A1717" s="25"/>
      <c r="B1717" s="25"/>
      <c r="C1717" s="25"/>
      <c r="D1717" s="25"/>
      <c r="E1717" s="24"/>
    </row>
    <row r="1718" spans="1:5">
      <c r="A1718" s="25"/>
      <c r="B1718" s="25"/>
      <c r="C1718" s="25"/>
      <c r="D1718" s="25"/>
      <c r="E1718" s="24"/>
    </row>
    <row r="1719" spans="1:5">
      <c r="A1719" s="25"/>
      <c r="B1719" s="25"/>
      <c r="C1719" s="25"/>
      <c r="D1719" s="25"/>
      <c r="E1719" s="24"/>
    </row>
    <row r="1720" spans="1:5">
      <c r="A1720" s="25"/>
      <c r="B1720" s="25"/>
      <c r="C1720" s="25"/>
      <c r="D1720" s="25"/>
      <c r="E1720" s="24"/>
    </row>
    <row r="1721" spans="1:5">
      <c r="A1721" s="25"/>
      <c r="B1721" s="25"/>
      <c r="C1721" s="25"/>
      <c r="D1721" s="25"/>
      <c r="E1721" s="24"/>
    </row>
    <row r="1722" spans="1:5">
      <c r="A1722" s="25"/>
      <c r="B1722" s="25"/>
      <c r="C1722" s="25"/>
      <c r="D1722" s="25"/>
      <c r="E1722" s="24"/>
    </row>
    <row r="1723" spans="1:5">
      <c r="A1723" s="25"/>
      <c r="B1723" s="25"/>
      <c r="C1723" s="25"/>
      <c r="D1723" s="25"/>
      <c r="E1723" s="24"/>
    </row>
    <row r="1724" spans="1:5">
      <c r="A1724" s="25"/>
      <c r="B1724" s="25"/>
      <c r="C1724" s="25"/>
      <c r="D1724" s="25"/>
      <c r="E1724" s="24"/>
    </row>
    <row r="1725" spans="1:5">
      <c r="A1725" s="25"/>
      <c r="B1725" s="25"/>
      <c r="C1725" s="25"/>
      <c r="D1725" s="25"/>
      <c r="E1725" s="24"/>
    </row>
    <row r="1726" spans="1:5">
      <c r="A1726" s="25"/>
      <c r="B1726" s="25"/>
      <c r="C1726" s="25"/>
      <c r="D1726" s="25"/>
      <c r="E1726" s="24"/>
    </row>
    <row r="1727" spans="1:5">
      <c r="A1727" s="25"/>
      <c r="B1727" s="25"/>
      <c r="C1727" s="25"/>
      <c r="D1727" s="25"/>
      <c r="E1727" s="24"/>
    </row>
    <row r="1728" spans="1:5">
      <c r="A1728" s="25"/>
      <c r="B1728" s="25"/>
      <c r="C1728" s="25"/>
      <c r="D1728" s="25"/>
      <c r="E1728" s="24"/>
    </row>
    <row r="1729" spans="1:5">
      <c r="A1729" s="25"/>
      <c r="B1729" s="25"/>
      <c r="C1729" s="25"/>
      <c r="D1729" s="25"/>
      <c r="E1729" s="24"/>
    </row>
    <row r="1730" spans="1:5">
      <c r="A1730" s="25"/>
      <c r="B1730" s="25"/>
      <c r="C1730" s="25"/>
      <c r="D1730" s="25"/>
      <c r="E1730" s="24"/>
    </row>
    <row r="1731" spans="1:5">
      <c r="A1731" s="25"/>
      <c r="B1731" s="25"/>
      <c r="C1731" s="25"/>
      <c r="D1731" s="25"/>
      <c r="E1731" s="24"/>
    </row>
    <row r="1732" spans="1:5">
      <c r="A1732" s="25"/>
      <c r="B1732" s="25"/>
      <c r="C1732" s="25"/>
      <c r="D1732" s="25"/>
      <c r="E1732" s="24"/>
    </row>
    <row r="1733" spans="1:5">
      <c r="A1733" s="25"/>
      <c r="B1733" s="25"/>
      <c r="C1733" s="25"/>
      <c r="D1733" s="25"/>
      <c r="E1733" s="24"/>
    </row>
    <row r="1734" spans="1:5">
      <c r="A1734" s="25"/>
      <c r="B1734" s="25"/>
      <c r="C1734" s="25"/>
      <c r="D1734" s="25"/>
      <c r="E1734" s="24"/>
    </row>
    <row r="1735" spans="1:5">
      <c r="A1735" s="25"/>
      <c r="B1735" s="25"/>
      <c r="C1735" s="25"/>
      <c r="D1735" s="25"/>
      <c r="E1735" s="24"/>
    </row>
    <row r="1736" spans="1:5">
      <c r="A1736" s="25"/>
      <c r="B1736" s="25"/>
      <c r="C1736" s="25"/>
      <c r="D1736" s="25"/>
      <c r="E1736" s="24"/>
    </row>
    <row r="1737" spans="1:5">
      <c r="A1737" s="25"/>
      <c r="B1737" s="25"/>
      <c r="C1737" s="25"/>
      <c r="D1737" s="25"/>
      <c r="E1737" s="24"/>
    </row>
    <row r="1738" spans="1:5">
      <c r="A1738" s="25"/>
      <c r="B1738" s="25"/>
      <c r="C1738" s="25"/>
      <c r="D1738" s="25"/>
      <c r="E1738" s="24"/>
    </row>
    <row r="1739" spans="1:5">
      <c r="A1739" s="25"/>
      <c r="B1739" s="25"/>
      <c r="C1739" s="25"/>
      <c r="D1739" s="25"/>
      <c r="E1739" s="24"/>
    </row>
    <row r="1740" spans="1:5">
      <c r="A1740" s="25"/>
      <c r="B1740" s="25"/>
      <c r="C1740" s="25"/>
      <c r="D1740" s="25"/>
      <c r="E1740" s="24"/>
    </row>
    <row r="1741" spans="1:5">
      <c r="A1741" s="25"/>
      <c r="B1741" s="25"/>
      <c r="C1741" s="25"/>
      <c r="D1741" s="25"/>
      <c r="E1741" s="24"/>
    </row>
    <row r="1742" spans="1:5">
      <c r="A1742" s="25"/>
      <c r="B1742" s="25"/>
      <c r="C1742" s="25"/>
      <c r="D1742" s="25"/>
      <c r="E1742" s="24"/>
    </row>
    <row r="1743" spans="1:5">
      <c r="A1743" s="25"/>
      <c r="B1743" s="25"/>
      <c r="C1743" s="25"/>
      <c r="D1743" s="25"/>
      <c r="E1743" s="24"/>
    </row>
    <row r="1744" spans="1:5">
      <c r="A1744" s="25"/>
      <c r="B1744" s="25"/>
      <c r="C1744" s="25"/>
      <c r="D1744" s="25"/>
      <c r="E1744" s="24"/>
    </row>
    <row r="1745" spans="1:5">
      <c r="A1745" s="25"/>
      <c r="B1745" s="25"/>
      <c r="C1745" s="25"/>
      <c r="D1745" s="25"/>
      <c r="E1745" s="24"/>
    </row>
    <row r="1746" spans="1:5">
      <c r="A1746" s="25"/>
      <c r="B1746" s="25"/>
      <c r="C1746" s="25"/>
      <c r="D1746" s="25"/>
      <c r="E1746" s="24"/>
    </row>
    <row r="1747" spans="1:5">
      <c r="A1747" s="25"/>
      <c r="B1747" s="25"/>
      <c r="C1747" s="25"/>
      <c r="D1747" s="25"/>
      <c r="E1747" s="24"/>
    </row>
    <row r="1748" spans="1:5">
      <c r="A1748" s="25"/>
      <c r="B1748" s="25"/>
      <c r="C1748" s="25"/>
      <c r="D1748" s="25"/>
      <c r="E1748" s="24"/>
    </row>
    <row r="1749" spans="1:5">
      <c r="A1749" s="25"/>
      <c r="B1749" s="25"/>
      <c r="C1749" s="25"/>
      <c r="D1749" s="25"/>
      <c r="E1749" s="24"/>
    </row>
    <row r="1750" spans="1:5">
      <c r="A1750" s="25"/>
      <c r="B1750" s="25"/>
      <c r="C1750" s="25"/>
      <c r="D1750" s="25"/>
      <c r="E1750" s="24"/>
    </row>
    <row r="1751" spans="1:5">
      <c r="A1751" s="25"/>
      <c r="B1751" s="25"/>
      <c r="C1751" s="25"/>
      <c r="D1751" s="25"/>
      <c r="E1751" s="24"/>
    </row>
    <row r="1752" spans="1:5">
      <c r="A1752" s="25"/>
      <c r="B1752" s="25"/>
      <c r="C1752" s="25"/>
      <c r="D1752" s="25"/>
      <c r="E1752" s="24"/>
    </row>
    <row r="1753" spans="1:5">
      <c r="A1753" s="25"/>
      <c r="B1753" s="25"/>
      <c r="C1753" s="25"/>
      <c r="D1753" s="25"/>
      <c r="E1753" s="24"/>
    </row>
    <row r="1754" spans="1:5">
      <c r="A1754" s="25"/>
      <c r="B1754" s="25"/>
      <c r="C1754" s="25"/>
      <c r="D1754" s="25"/>
      <c r="E1754" s="24"/>
    </row>
    <row r="1755" spans="1:5">
      <c r="A1755" s="25"/>
      <c r="B1755" s="25"/>
      <c r="C1755" s="25"/>
      <c r="D1755" s="25"/>
      <c r="E1755" s="24"/>
    </row>
    <row r="1756" spans="1:5">
      <c r="A1756" s="25"/>
      <c r="B1756" s="25"/>
      <c r="C1756" s="25"/>
      <c r="D1756" s="25"/>
      <c r="E1756" s="24"/>
    </row>
    <row r="1757" spans="1:5">
      <c r="A1757" s="25"/>
      <c r="B1757" s="25"/>
      <c r="C1757" s="25"/>
      <c r="D1757" s="25"/>
      <c r="E1757" s="24"/>
    </row>
    <row r="1758" spans="1:5">
      <c r="A1758" s="25"/>
      <c r="B1758" s="25"/>
      <c r="C1758" s="25"/>
      <c r="D1758" s="25"/>
      <c r="E1758" s="24"/>
    </row>
    <row r="1759" spans="1:5">
      <c r="A1759" s="25"/>
      <c r="B1759" s="25"/>
      <c r="C1759" s="25"/>
      <c r="D1759" s="25"/>
      <c r="E1759" s="24"/>
    </row>
    <row r="1760" spans="1:5">
      <c r="A1760" s="25"/>
      <c r="B1760" s="25"/>
      <c r="C1760" s="25"/>
      <c r="D1760" s="25"/>
      <c r="E1760" s="24"/>
    </row>
    <row r="1761" spans="1:5">
      <c r="A1761" s="25"/>
      <c r="B1761" s="25"/>
      <c r="C1761" s="25"/>
      <c r="D1761" s="25"/>
      <c r="E1761" s="24"/>
    </row>
    <row r="1762" spans="1:5">
      <c r="A1762" s="25"/>
      <c r="B1762" s="25"/>
      <c r="C1762" s="25"/>
      <c r="D1762" s="25"/>
      <c r="E1762" s="24"/>
    </row>
    <row r="1763" spans="1:5">
      <c r="A1763" s="25"/>
      <c r="B1763" s="25"/>
      <c r="C1763" s="25"/>
      <c r="D1763" s="25"/>
      <c r="E1763" s="24"/>
    </row>
    <row r="1764" spans="1:5">
      <c r="A1764" s="25"/>
      <c r="B1764" s="25"/>
      <c r="C1764" s="25"/>
      <c r="D1764" s="25"/>
      <c r="E1764" s="24"/>
    </row>
    <row r="1765" spans="1:5">
      <c r="A1765" s="25"/>
      <c r="B1765" s="25"/>
      <c r="C1765" s="25"/>
      <c r="D1765" s="25"/>
      <c r="E1765" s="24"/>
    </row>
    <row r="1766" spans="1:5">
      <c r="A1766" s="25"/>
      <c r="B1766" s="25"/>
      <c r="C1766" s="25"/>
      <c r="D1766" s="25"/>
      <c r="E1766" s="24"/>
    </row>
    <row r="1767" spans="1:5">
      <c r="A1767" s="25"/>
      <c r="B1767" s="25"/>
      <c r="C1767" s="25"/>
      <c r="D1767" s="25"/>
      <c r="E1767" s="24"/>
    </row>
    <row r="1768" spans="1:5">
      <c r="A1768" s="25"/>
      <c r="B1768" s="25"/>
      <c r="C1768" s="25"/>
      <c r="D1768" s="25"/>
      <c r="E1768" s="24"/>
    </row>
    <row r="1769" spans="1:5">
      <c r="A1769" s="25"/>
      <c r="B1769" s="25"/>
      <c r="C1769" s="25"/>
      <c r="D1769" s="25"/>
      <c r="E1769" s="24"/>
    </row>
    <row r="1770" spans="1:5">
      <c r="A1770" s="25"/>
      <c r="B1770" s="25"/>
      <c r="C1770" s="25"/>
      <c r="D1770" s="25"/>
      <c r="E1770" s="24"/>
    </row>
    <row r="1771" spans="1:5">
      <c r="A1771" s="25"/>
      <c r="B1771" s="25"/>
      <c r="C1771" s="25"/>
      <c r="D1771" s="25"/>
      <c r="E1771" s="24"/>
    </row>
    <row r="1772" spans="1:5">
      <c r="A1772" s="25"/>
      <c r="B1772" s="25"/>
      <c r="C1772" s="25"/>
      <c r="D1772" s="25"/>
      <c r="E1772" s="24"/>
    </row>
    <row r="1773" spans="1:5">
      <c r="A1773" s="25"/>
      <c r="B1773" s="25"/>
      <c r="C1773" s="25"/>
      <c r="D1773" s="25"/>
      <c r="E1773" s="24"/>
    </row>
    <row r="1774" spans="1:5">
      <c r="A1774" s="25"/>
      <c r="B1774" s="25"/>
      <c r="C1774" s="25"/>
      <c r="D1774" s="25"/>
      <c r="E1774" s="24"/>
    </row>
    <row r="1775" spans="1:5">
      <c r="A1775" s="25"/>
      <c r="B1775" s="25"/>
      <c r="C1775" s="25"/>
      <c r="D1775" s="25"/>
      <c r="E1775" s="24"/>
    </row>
    <row r="1776" spans="1:5">
      <c r="A1776" s="25"/>
      <c r="B1776" s="25"/>
      <c r="C1776" s="25"/>
      <c r="D1776" s="25"/>
      <c r="E1776" s="24"/>
    </row>
    <row r="1777" spans="1:5">
      <c r="A1777" s="25"/>
      <c r="B1777" s="25"/>
      <c r="C1777" s="25"/>
      <c r="D1777" s="25"/>
      <c r="E1777" s="24"/>
    </row>
    <row r="1778" spans="1:5">
      <c r="A1778" s="25"/>
      <c r="B1778" s="25"/>
      <c r="C1778" s="25"/>
      <c r="D1778" s="25"/>
      <c r="E1778" s="24"/>
    </row>
    <row r="1779" spans="1:5">
      <c r="A1779" s="25"/>
      <c r="B1779" s="25"/>
      <c r="C1779" s="25"/>
      <c r="D1779" s="25"/>
      <c r="E1779" s="24"/>
    </row>
    <row r="1780" spans="1:5">
      <c r="A1780" s="25"/>
      <c r="B1780" s="25"/>
      <c r="C1780" s="25"/>
      <c r="D1780" s="25"/>
      <c r="E1780" s="24"/>
    </row>
    <row r="1781" spans="1:5">
      <c r="A1781" s="25"/>
      <c r="B1781" s="25"/>
      <c r="C1781" s="25"/>
      <c r="D1781" s="25"/>
      <c r="E1781" s="24"/>
    </row>
    <row r="1782" spans="1:5">
      <c r="A1782" s="25"/>
      <c r="B1782" s="25"/>
      <c r="C1782" s="25"/>
      <c r="D1782" s="25"/>
      <c r="E1782" s="24"/>
    </row>
    <row r="1783" spans="1:5">
      <c r="A1783" s="25"/>
      <c r="B1783" s="25"/>
      <c r="C1783" s="25"/>
      <c r="D1783" s="25"/>
      <c r="E1783" s="24"/>
    </row>
    <row r="1784" spans="1:5">
      <c r="A1784" s="25"/>
      <c r="B1784" s="25"/>
      <c r="C1784" s="25"/>
      <c r="D1784" s="25"/>
      <c r="E1784" s="24"/>
    </row>
    <row r="1785" spans="1:5">
      <c r="A1785" s="25"/>
      <c r="B1785" s="25"/>
      <c r="C1785" s="25"/>
      <c r="D1785" s="25"/>
      <c r="E1785" s="24"/>
    </row>
    <row r="1786" spans="1:5">
      <c r="A1786" s="25"/>
      <c r="B1786" s="25"/>
      <c r="C1786" s="25"/>
      <c r="D1786" s="25"/>
      <c r="E1786" s="24"/>
    </row>
    <row r="1787" spans="1:5">
      <c r="A1787" s="25"/>
      <c r="B1787" s="25"/>
      <c r="C1787" s="25"/>
      <c r="D1787" s="25"/>
      <c r="E1787" s="24"/>
    </row>
    <row r="1788" spans="1:5">
      <c r="A1788" s="25"/>
      <c r="B1788" s="25"/>
      <c r="C1788" s="25"/>
      <c r="D1788" s="25"/>
      <c r="E1788" s="24"/>
    </row>
    <row r="1789" spans="1:5">
      <c r="A1789" s="25"/>
      <c r="B1789" s="25"/>
      <c r="C1789" s="25"/>
      <c r="D1789" s="25"/>
      <c r="E1789" s="24"/>
    </row>
    <row r="1790" spans="1:5">
      <c r="A1790" s="25"/>
      <c r="B1790" s="25"/>
      <c r="C1790" s="25"/>
      <c r="D1790" s="25"/>
      <c r="E1790" s="24"/>
    </row>
    <row r="1791" spans="1:5">
      <c r="A1791" s="25"/>
      <c r="B1791" s="25"/>
      <c r="C1791" s="25"/>
      <c r="D1791" s="25"/>
      <c r="E1791" s="24"/>
    </row>
    <row r="1792" spans="1:5">
      <c r="A1792" s="25"/>
      <c r="B1792" s="25"/>
      <c r="C1792" s="25"/>
      <c r="D1792" s="25"/>
      <c r="E1792" s="24"/>
    </row>
    <row r="1793" spans="1:5">
      <c r="A1793" s="25"/>
      <c r="B1793" s="25"/>
      <c r="C1793" s="25"/>
      <c r="D1793" s="25"/>
      <c r="E1793" s="24"/>
    </row>
    <row r="1794" spans="1:5">
      <c r="A1794" s="25"/>
      <c r="B1794" s="25"/>
      <c r="C1794" s="25"/>
      <c r="D1794" s="25"/>
      <c r="E1794" s="24"/>
    </row>
    <row r="1795" spans="1:5">
      <c r="A1795" s="25"/>
      <c r="B1795" s="25"/>
      <c r="C1795" s="25"/>
      <c r="D1795" s="25"/>
      <c r="E1795" s="24"/>
    </row>
    <row r="1796" spans="1:5">
      <c r="A1796" s="25"/>
      <c r="B1796" s="25"/>
      <c r="C1796" s="25"/>
      <c r="D1796" s="25"/>
      <c r="E1796" s="24"/>
    </row>
    <row r="1797" spans="1:5">
      <c r="A1797" s="25"/>
      <c r="B1797" s="25"/>
      <c r="C1797" s="25"/>
      <c r="D1797" s="25"/>
      <c r="E1797" s="24"/>
    </row>
    <row r="1798" spans="1:5">
      <c r="A1798" s="25"/>
      <c r="B1798" s="25"/>
      <c r="C1798" s="25"/>
      <c r="D1798" s="25"/>
      <c r="E1798" s="24"/>
    </row>
    <row r="1799" spans="1:5">
      <c r="A1799" s="25"/>
      <c r="B1799" s="25"/>
      <c r="C1799" s="25"/>
      <c r="D1799" s="25"/>
      <c r="E1799" s="24"/>
    </row>
    <row r="1800" spans="1:5">
      <c r="A1800" s="25"/>
      <c r="B1800" s="25"/>
      <c r="C1800" s="25"/>
      <c r="D1800" s="25"/>
      <c r="E1800" s="24"/>
    </row>
    <row r="1801" spans="1:5">
      <c r="A1801" s="25"/>
      <c r="B1801" s="25"/>
      <c r="C1801" s="25"/>
      <c r="D1801" s="25"/>
      <c r="E1801" s="24"/>
    </row>
    <row r="1802" spans="1:5">
      <c r="A1802" s="25"/>
      <c r="B1802" s="25"/>
      <c r="C1802" s="25"/>
      <c r="D1802" s="25"/>
      <c r="E1802" s="24"/>
    </row>
    <row r="1803" spans="1:5">
      <c r="A1803" s="25"/>
      <c r="B1803" s="25"/>
      <c r="C1803" s="25"/>
      <c r="D1803" s="25"/>
      <c r="E1803" s="24"/>
    </row>
    <row r="1804" spans="1:5">
      <c r="A1804" s="25"/>
      <c r="B1804" s="25"/>
      <c r="C1804" s="25"/>
      <c r="D1804" s="25"/>
      <c r="E1804" s="24"/>
    </row>
    <row r="1805" spans="1:5">
      <c r="A1805" s="25"/>
      <c r="B1805" s="25"/>
      <c r="C1805" s="25"/>
      <c r="D1805" s="25"/>
      <c r="E1805" s="24"/>
    </row>
    <row r="1806" spans="1:5">
      <c r="A1806" s="25"/>
      <c r="B1806" s="25"/>
      <c r="C1806" s="25"/>
      <c r="D1806" s="25"/>
      <c r="E1806" s="24"/>
    </row>
    <row r="1807" spans="1:5">
      <c r="A1807" s="25"/>
      <c r="B1807" s="25"/>
      <c r="C1807" s="25"/>
      <c r="D1807" s="25"/>
      <c r="E1807" s="24"/>
    </row>
    <row r="1808" spans="1:5">
      <c r="A1808" s="25"/>
      <c r="B1808" s="25"/>
      <c r="C1808" s="25"/>
      <c r="D1808" s="25"/>
      <c r="E1808" s="24"/>
    </row>
    <row r="1809" spans="1:5">
      <c r="A1809" s="25"/>
      <c r="B1809" s="25"/>
      <c r="C1809" s="25"/>
      <c r="D1809" s="25"/>
      <c r="E1809" s="24"/>
    </row>
    <row r="1810" spans="1:5">
      <c r="A1810" s="25"/>
      <c r="B1810" s="25"/>
      <c r="C1810" s="25"/>
      <c r="D1810" s="25"/>
      <c r="E1810" s="24"/>
    </row>
    <row r="1811" spans="1:5">
      <c r="A1811" s="25"/>
      <c r="B1811" s="25"/>
      <c r="C1811" s="25"/>
      <c r="D1811" s="25"/>
      <c r="E1811" s="24"/>
    </row>
    <row r="1812" spans="1:5">
      <c r="A1812" s="25"/>
      <c r="B1812" s="25"/>
      <c r="C1812" s="25"/>
      <c r="D1812" s="25"/>
      <c r="E1812" s="24"/>
    </row>
    <row r="1813" spans="1:5">
      <c r="A1813" s="25"/>
      <c r="B1813" s="25"/>
      <c r="C1813" s="25"/>
      <c r="D1813" s="25"/>
      <c r="E1813" s="24"/>
    </row>
    <row r="1814" spans="1:5">
      <c r="A1814" s="25"/>
      <c r="B1814" s="25"/>
      <c r="C1814" s="25"/>
      <c r="D1814" s="25"/>
      <c r="E1814" s="24"/>
    </row>
    <row r="1815" spans="1:5">
      <c r="A1815" s="25"/>
      <c r="B1815" s="25"/>
      <c r="C1815" s="25"/>
      <c r="D1815" s="25"/>
      <c r="E1815" s="24"/>
    </row>
    <row r="1816" spans="1:5">
      <c r="A1816" s="25"/>
      <c r="B1816" s="25"/>
      <c r="C1816" s="25"/>
      <c r="D1816" s="25"/>
      <c r="E1816" s="24"/>
    </row>
    <row r="1817" spans="1:5">
      <c r="A1817" s="25"/>
      <c r="B1817" s="25"/>
      <c r="C1817" s="25"/>
      <c r="D1817" s="25"/>
      <c r="E1817" s="24"/>
    </row>
    <row r="1818" spans="1:5">
      <c r="A1818" s="25"/>
      <c r="B1818" s="25"/>
      <c r="C1818" s="25"/>
      <c r="D1818" s="25"/>
      <c r="E1818" s="24"/>
    </row>
    <row r="1819" spans="1:5">
      <c r="A1819" s="25"/>
      <c r="B1819" s="25"/>
      <c r="C1819" s="25"/>
      <c r="D1819" s="25"/>
      <c r="E1819" s="24"/>
    </row>
    <row r="1820" spans="1:5">
      <c r="A1820" s="25"/>
      <c r="B1820" s="25"/>
      <c r="C1820" s="25"/>
      <c r="D1820" s="25"/>
      <c r="E1820" s="24"/>
    </row>
    <row r="1821" spans="1:5">
      <c r="A1821" s="25"/>
      <c r="B1821" s="25"/>
      <c r="C1821" s="25"/>
      <c r="D1821" s="25"/>
      <c r="E1821" s="24"/>
    </row>
    <row r="1822" spans="1:5">
      <c r="A1822" s="25"/>
      <c r="B1822" s="25"/>
      <c r="C1822" s="25"/>
      <c r="D1822" s="25"/>
      <c r="E1822" s="24"/>
    </row>
    <row r="1823" spans="1:5">
      <c r="A1823" s="25"/>
      <c r="B1823" s="25"/>
      <c r="C1823" s="25"/>
      <c r="D1823" s="25"/>
      <c r="E1823" s="24"/>
    </row>
    <row r="1824" spans="1:5">
      <c r="A1824" s="25"/>
      <c r="B1824" s="25"/>
      <c r="C1824" s="25"/>
      <c r="D1824" s="25"/>
      <c r="E1824" s="24"/>
    </row>
    <row r="1825" spans="1:5">
      <c r="A1825" s="25"/>
      <c r="B1825" s="25"/>
      <c r="C1825" s="25"/>
      <c r="D1825" s="25"/>
      <c r="E1825" s="24"/>
    </row>
    <row r="1826" spans="1:5">
      <c r="A1826" s="25"/>
      <c r="B1826" s="25"/>
      <c r="C1826" s="25"/>
      <c r="D1826" s="25"/>
      <c r="E1826" s="24"/>
    </row>
    <row r="1827" spans="1:5">
      <c r="A1827" s="25"/>
      <c r="B1827" s="25"/>
      <c r="C1827" s="25"/>
      <c r="D1827" s="25"/>
      <c r="E1827" s="24"/>
    </row>
    <row r="1828" spans="1:5">
      <c r="A1828" s="25"/>
      <c r="B1828" s="25"/>
      <c r="C1828" s="25"/>
      <c r="D1828" s="25"/>
      <c r="E1828" s="24"/>
    </row>
    <row r="1829" spans="1:5">
      <c r="A1829" s="25"/>
      <c r="B1829" s="25"/>
      <c r="C1829" s="25"/>
      <c r="D1829" s="25"/>
      <c r="E1829" s="24"/>
    </row>
    <row r="1830" spans="1:5">
      <c r="A1830" s="25"/>
      <c r="B1830" s="25"/>
      <c r="C1830" s="25"/>
      <c r="D1830" s="25"/>
      <c r="E1830" s="24"/>
    </row>
    <row r="1831" spans="1:5">
      <c r="A1831" s="25"/>
      <c r="B1831" s="25"/>
      <c r="C1831" s="25"/>
      <c r="D1831" s="25"/>
      <c r="E1831" s="24"/>
    </row>
    <row r="1832" spans="1:5">
      <c r="A1832" s="25"/>
      <c r="B1832" s="25"/>
      <c r="C1832" s="25"/>
      <c r="D1832" s="25"/>
      <c r="E1832" s="24"/>
    </row>
    <row r="1833" spans="1:5">
      <c r="A1833" s="25"/>
      <c r="B1833" s="25"/>
      <c r="C1833" s="25"/>
      <c r="D1833" s="25"/>
      <c r="E1833" s="24"/>
    </row>
    <row r="1834" spans="1:5">
      <c r="A1834" s="25"/>
      <c r="B1834" s="25"/>
      <c r="C1834" s="25"/>
      <c r="D1834" s="25"/>
      <c r="E1834" s="24"/>
    </row>
    <row r="1835" spans="1:5">
      <c r="A1835" s="25"/>
      <c r="B1835" s="25"/>
      <c r="C1835" s="25"/>
      <c r="D1835" s="25"/>
      <c r="E1835" s="24"/>
    </row>
    <row r="1836" spans="1:5">
      <c r="A1836" s="25"/>
      <c r="B1836" s="25"/>
      <c r="C1836" s="25"/>
      <c r="D1836" s="25"/>
      <c r="E1836" s="24"/>
    </row>
    <row r="1837" spans="1:5">
      <c r="A1837" s="25"/>
      <c r="B1837" s="25"/>
      <c r="C1837" s="25"/>
      <c r="D1837" s="25"/>
      <c r="E1837" s="24"/>
    </row>
    <row r="1838" spans="1:5">
      <c r="A1838" s="25"/>
      <c r="B1838" s="25"/>
      <c r="C1838" s="25"/>
      <c r="D1838" s="25"/>
      <c r="E1838" s="24"/>
    </row>
    <row r="1839" spans="1:5">
      <c r="A1839" s="25"/>
      <c r="B1839" s="25"/>
      <c r="C1839" s="25"/>
      <c r="D1839" s="25"/>
      <c r="E1839" s="24"/>
    </row>
    <row r="1840" spans="1:5">
      <c r="A1840" s="25"/>
      <c r="B1840" s="25"/>
      <c r="C1840" s="25"/>
      <c r="D1840" s="25"/>
      <c r="E1840" s="24"/>
    </row>
    <row r="1841" spans="1:5">
      <c r="A1841" s="25"/>
      <c r="B1841" s="25"/>
      <c r="C1841" s="25"/>
      <c r="D1841" s="25"/>
      <c r="E1841" s="24"/>
    </row>
    <row r="1842" spans="1:5">
      <c r="A1842" s="25"/>
      <c r="B1842" s="25"/>
      <c r="C1842" s="25"/>
      <c r="D1842" s="25"/>
      <c r="E1842" s="24"/>
    </row>
    <row r="1843" spans="1:5">
      <c r="A1843" s="25"/>
      <c r="B1843" s="25"/>
      <c r="C1843" s="25"/>
      <c r="D1843" s="25"/>
      <c r="E1843" s="24"/>
    </row>
    <row r="1844" spans="1:5">
      <c r="A1844" s="25"/>
      <c r="B1844" s="25"/>
      <c r="C1844" s="25"/>
      <c r="D1844" s="25"/>
      <c r="E1844" s="24"/>
    </row>
    <row r="1845" spans="1:5">
      <c r="A1845" s="25"/>
      <c r="B1845" s="25"/>
      <c r="C1845" s="25"/>
      <c r="D1845" s="25"/>
      <c r="E1845" s="24"/>
    </row>
    <row r="1846" spans="1:5">
      <c r="A1846" s="25"/>
      <c r="B1846" s="25"/>
      <c r="C1846" s="25"/>
      <c r="D1846" s="25"/>
      <c r="E1846" s="24"/>
    </row>
    <row r="1847" spans="1:5">
      <c r="A1847" s="25"/>
      <c r="B1847" s="25"/>
      <c r="C1847" s="25"/>
      <c r="D1847" s="25"/>
      <c r="E1847" s="24"/>
    </row>
    <row r="1848" spans="1:5">
      <c r="A1848" s="25"/>
      <c r="B1848" s="25"/>
      <c r="C1848" s="25"/>
      <c r="D1848" s="25"/>
      <c r="E1848" s="24"/>
    </row>
    <row r="1849" spans="1:5">
      <c r="A1849" s="25"/>
      <c r="B1849" s="25"/>
      <c r="C1849" s="25"/>
      <c r="D1849" s="25"/>
      <c r="E1849" s="24"/>
    </row>
    <row r="1850" spans="1:5">
      <c r="A1850" s="25"/>
      <c r="B1850" s="25"/>
      <c r="C1850" s="25"/>
      <c r="D1850" s="25"/>
      <c r="E1850" s="24"/>
    </row>
    <row r="1851" spans="1:5">
      <c r="A1851" s="25"/>
      <c r="B1851" s="25"/>
      <c r="C1851" s="25"/>
      <c r="D1851" s="25"/>
      <c r="E1851" s="24"/>
    </row>
    <row r="1852" spans="1:5">
      <c r="A1852" s="25"/>
      <c r="B1852" s="25"/>
      <c r="C1852" s="25"/>
      <c r="D1852" s="25"/>
      <c r="E1852" s="24"/>
    </row>
    <row r="1853" spans="1:5">
      <c r="A1853" s="25"/>
      <c r="B1853" s="25"/>
      <c r="C1853" s="25"/>
      <c r="D1853" s="25"/>
      <c r="E1853" s="24"/>
    </row>
    <row r="1854" spans="1:5">
      <c r="A1854" s="25"/>
      <c r="B1854" s="25"/>
      <c r="C1854" s="25"/>
      <c r="D1854" s="25"/>
      <c r="E1854" s="24"/>
    </row>
    <row r="1855" spans="1:5">
      <c r="A1855" s="25"/>
      <c r="B1855" s="25"/>
      <c r="C1855" s="25"/>
      <c r="D1855" s="25"/>
      <c r="E1855" s="24"/>
    </row>
    <row r="1856" spans="1:5">
      <c r="A1856" s="25"/>
      <c r="B1856" s="25"/>
      <c r="C1856" s="25"/>
      <c r="D1856" s="25"/>
      <c r="E1856" s="24"/>
    </row>
    <row r="1857" spans="1:5">
      <c r="A1857" s="25"/>
      <c r="B1857" s="25"/>
      <c r="C1857" s="25"/>
      <c r="D1857" s="25"/>
      <c r="E1857" s="24"/>
    </row>
    <row r="1858" spans="1:5">
      <c r="A1858" s="25"/>
      <c r="B1858" s="25"/>
      <c r="C1858" s="25"/>
      <c r="D1858" s="25"/>
      <c r="E1858" s="24"/>
    </row>
    <row r="1859" spans="1:5">
      <c r="A1859" s="25"/>
      <c r="B1859" s="25"/>
      <c r="C1859" s="25"/>
      <c r="D1859" s="25"/>
      <c r="E1859" s="24"/>
    </row>
    <row r="1860" spans="1:5">
      <c r="A1860" s="25"/>
      <c r="B1860" s="25"/>
      <c r="C1860" s="25"/>
      <c r="D1860" s="25"/>
      <c r="E1860" s="24"/>
    </row>
    <row r="1861" spans="1:5">
      <c r="A1861" s="25"/>
      <c r="B1861" s="25"/>
      <c r="C1861" s="25"/>
      <c r="D1861" s="25"/>
      <c r="E1861" s="24"/>
    </row>
    <row r="1862" spans="1:5">
      <c r="A1862" s="25"/>
      <c r="B1862" s="25"/>
      <c r="C1862" s="25"/>
      <c r="D1862" s="25"/>
      <c r="E1862" s="24"/>
    </row>
    <row r="1863" spans="1:5">
      <c r="A1863" s="25"/>
      <c r="B1863" s="25"/>
      <c r="C1863" s="25"/>
      <c r="D1863" s="25"/>
      <c r="E1863" s="24"/>
    </row>
    <row r="1864" spans="1:5">
      <c r="A1864" s="25"/>
      <c r="B1864" s="25"/>
      <c r="C1864" s="25"/>
      <c r="D1864" s="25"/>
      <c r="E1864" s="24"/>
    </row>
    <row r="1865" spans="1:5">
      <c r="A1865" s="25"/>
      <c r="B1865" s="25"/>
      <c r="C1865" s="25"/>
      <c r="D1865" s="25"/>
      <c r="E1865" s="24"/>
    </row>
    <row r="1866" spans="1:5">
      <c r="A1866" s="25"/>
      <c r="B1866" s="25"/>
      <c r="C1866" s="25"/>
      <c r="D1866" s="25"/>
      <c r="E1866" s="24"/>
    </row>
    <row r="1867" spans="1:5">
      <c r="A1867" s="25"/>
      <c r="B1867" s="25"/>
      <c r="C1867" s="25"/>
      <c r="D1867" s="25"/>
      <c r="E1867" s="24"/>
    </row>
    <row r="1868" spans="1:5">
      <c r="A1868" s="25"/>
      <c r="B1868" s="25"/>
      <c r="C1868" s="25"/>
      <c r="D1868" s="25"/>
      <c r="E1868" s="24"/>
    </row>
    <row r="1869" spans="1:5">
      <c r="A1869" s="25"/>
      <c r="B1869" s="25"/>
      <c r="C1869" s="25"/>
      <c r="D1869" s="25"/>
      <c r="E1869" s="24"/>
    </row>
    <row r="1870" spans="1:5">
      <c r="A1870" s="25"/>
      <c r="B1870" s="25"/>
      <c r="C1870" s="25"/>
      <c r="D1870" s="25"/>
      <c r="E1870" s="24"/>
    </row>
    <row r="1871" spans="1:5">
      <c r="A1871" s="25"/>
      <c r="B1871" s="25"/>
      <c r="C1871" s="25"/>
      <c r="D1871" s="25"/>
      <c r="E1871" s="24"/>
    </row>
    <row r="1872" spans="1:5">
      <c r="A1872" s="25"/>
      <c r="B1872" s="25"/>
      <c r="C1872" s="25"/>
      <c r="D1872" s="25"/>
      <c r="E1872" s="24"/>
    </row>
    <row r="1873" spans="1:5">
      <c r="A1873" s="25"/>
      <c r="B1873" s="25"/>
      <c r="C1873" s="25"/>
      <c r="D1873" s="25"/>
      <c r="E1873" s="24"/>
    </row>
    <row r="1874" spans="1:5">
      <c r="A1874" s="25"/>
      <c r="B1874" s="25"/>
      <c r="C1874" s="25"/>
      <c r="D1874" s="25"/>
      <c r="E1874" s="24"/>
    </row>
    <row r="1875" spans="1:5">
      <c r="A1875" s="25"/>
      <c r="B1875" s="25"/>
      <c r="C1875" s="25"/>
      <c r="D1875" s="25"/>
      <c r="E1875" s="24"/>
    </row>
    <row r="1876" spans="1:5">
      <c r="A1876" s="25"/>
      <c r="B1876" s="25"/>
      <c r="C1876" s="25"/>
      <c r="D1876" s="25"/>
      <c r="E1876" s="24"/>
    </row>
    <row r="1877" spans="1:5">
      <c r="A1877" s="25"/>
      <c r="B1877" s="25"/>
      <c r="C1877" s="25"/>
      <c r="D1877" s="25"/>
      <c r="E1877" s="24"/>
    </row>
    <row r="1878" spans="1:5">
      <c r="A1878" s="25"/>
      <c r="B1878" s="25"/>
      <c r="C1878" s="25"/>
      <c r="D1878" s="25"/>
      <c r="E1878" s="24"/>
    </row>
    <row r="1879" spans="1:5">
      <c r="A1879" s="25"/>
      <c r="B1879" s="25"/>
      <c r="C1879" s="25"/>
      <c r="D1879" s="25"/>
      <c r="E1879" s="24"/>
    </row>
    <row r="1880" spans="1:5">
      <c r="A1880" s="25"/>
      <c r="B1880" s="25"/>
      <c r="C1880" s="25"/>
      <c r="D1880" s="25"/>
      <c r="E1880" s="24"/>
    </row>
    <row r="1881" spans="1:5">
      <c r="A1881" s="25"/>
      <c r="B1881" s="25"/>
      <c r="C1881" s="25"/>
      <c r="D1881" s="25"/>
      <c r="E1881" s="24"/>
    </row>
    <row r="1882" spans="1:5">
      <c r="A1882" s="25"/>
      <c r="B1882" s="25"/>
      <c r="C1882" s="25"/>
      <c r="D1882" s="25"/>
      <c r="E1882" s="24"/>
    </row>
    <row r="1883" spans="1:5">
      <c r="A1883" s="25"/>
      <c r="B1883" s="25"/>
      <c r="C1883" s="25"/>
      <c r="D1883" s="25"/>
      <c r="E1883" s="24"/>
    </row>
    <row r="1884" spans="1:5">
      <c r="A1884" s="25"/>
      <c r="B1884" s="25"/>
      <c r="C1884" s="25"/>
      <c r="D1884" s="25"/>
      <c r="E1884" s="24"/>
    </row>
    <row r="1885" spans="1:5">
      <c r="A1885" s="25"/>
      <c r="B1885" s="25"/>
      <c r="C1885" s="25"/>
      <c r="D1885" s="25"/>
      <c r="E1885" s="24"/>
    </row>
    <row r="1886" spans="1:5">
      <c r="A1886" s="25"/>
      <c r="B1886" s="25"/>
      <c r="C1886" s="25"/>
      <c r="D1886" s="25"/>
      <c r="E1886" s="24"/>
    </row>
    <row r="1887" spans="1:5">
      <c r="A1887" s="25"/>
      <c r="B1887" s="25"/>
      <c r="C1887" s="25"/>
      <c r="D1887" s="25"/>
      <c r="E1887" s="24"/>
    </row>
    <row r="1888" spans="1:5">
      <c r="A1888" s="25"/>
      <c r="B1888" s="25"/>
      <c r="C1888" s="25"/>
      <c r="D1888" s="25"/>
      <c r="E1888" s="24"/>
    </row>
    <row r="1889" spans="1:5">
      <c r="A1889" s="25"/>
      <c r="B1889" s="25"/>
      <c r="C1889" s="25"/>
      <c r="D1889" s="25"/>
      <c r="E1889" s="24"/>
    </row>
    <row r="1890" spans="1:5">
      <c r="A1890" s="25"/>
      <c r="B1890" s="25"/>
      <c r="C1890" s="25"/>
      <c r="D1890" s="25"/>
      <c r="E1890" s="24"/>
    </row>
    <row r="1891" spans="1:5">
      <c r="A1891" s="25"/>
      <c r="B1891" s="25"/>
      <c r="C1891" s="25"/>
      <c r="D1891" s="25"/>
      <c r="E1891" s="24"/>
    </row>
    <row r="1892" spans="1:5">
      <c r="A1892" s="25"/>
      <c r="B1892" s="25"/>
      <c r="C1892" s="25"/>
      <c r="D1892" s="25"/>
      <c r="E1892" s="24"/>
    </row>
    <row r="1893" spans="1:5">
      <c r="A1893" s="25"/>
      <c r="B1893" s="25"/>
      <c r="C1893" s="25"/>
      <c r="D1893" s="25"/>
      <c r="E1893" s="24"/>
    </row>
    <row r="1894" spans="1:5">
      <c r="A1894" s="25"/>
      <c r="B1894" s="25"/>
      <c r="C1894" s="25"/>
      <c r="D1894" s="25"/>
      <c r="E1894" s="24"/>
    </row>
    <row r="1895" spans="1:5">
      <c r="A1895" s="25"/>
      <c r="B1895" s="25"/>
      <c r="C1895" s="25"/>
      <c r="D1895" s="25"/>
      <c r="E1895" s="24"/>
    </row>
    <row r="1896" spans="1:5">
      <c r="A1896" s="25"/>
      <c r="B1896" s="25"/>
      <c r="C1896" s="25"/>
      <c r="D1896" s="25"/>
      <c r="E1896" s="24"/>
    </row>
    <row r="1897" spans="1:5">
      <c r="A1897" s="25"/>
      <c r="B1897" s="25"/>
      <c r="C1897" s="25"/>
      <c r="D1897" s="25"/>
      <c r="E1897" s="24"/>
    </row>
    <row r="1898" spans="1:5">
      <c r="A1898" s="25"/>
      <c r="B1898" s="25"/>
      <c r="C1898" s="25"/>
      <c r="D1898" s="25"/>
      <c r="E1898" s="24"/>
    </row>
    <row r="1899" spans="1:5">
      <c r="A1899" s="25"/>
      <c r="B1899" s="25"/>
      <c r="C1899" s="25"/>
      <c r="D1899" s="25"/>
      <c r="E1899" s="24"/>
    </row>
    <row r="1900" spans="1:5">
      <c r="A1900" s="25"/>
      <c r="B1900" s="25"/>
      <c r="C1900" s="25"/>
      <c r="D1900" s="25"/>
      <c r="E1900" s="24"/>
    </row>
    <row r="1901" spans="1:5">
      <c r="A1901" s="25"/>
      <c r="B1901" s="25"/>
      <c r="C1901" s="25"/>
      <c r="D1901" s="25"/>
      <c r="E1901" s="24"/>
    </row>
    <row r="1902" spans="1:5">
      <c r="A1902" s="25"/>
      <c r="B1902" s="25"/>
      <c r="C1902" s="25"/>
      <c r="D1902" s="25"/>
      <c r="E1902" s="24"/>
    </row>
    <row r="1903" spans="1:5">
      <c r="A1903" s="25"/>
      <c r="B1903" s="25"/>
      <c r="C1903" s="25"/>
      <c r="D1903" s="25"/>
      <c r="E1903" s="24"/>
    </row>
    <row r="1904" spans="1:5">
      <c r="A1904" s="25"/>
      <c r="B1904" s="25"/>
      <c r="C1904" s="25"/>
      <c r="D1904" s="25"/>
      <c r="E1904" s="24"/>
    </row>
    <row r="1905" spans="1:5">
      <c r="A1905" s="25"/>
      <c r="B1905" s="25"/>
      <c r="C1905" s="25"/>
      <c r="D1905" s="25"/>
      <c r="E1905" s="24"/>
    </row>
    <row r="1906" spans="1:5">
      <c r="A1906" s="25"/>
      <c r="B1906" s="25"/>
      <c r="C1906" s="25"/>
      <c r="D1906" s="25"/>
      <c r="E1906" s="24"/>
    </row>
    <row r="1907" spans="1:5">
      <c r="A1907" s="25"/>
      <c r="B1907" s="25"/>
      <c r="C1907" s="25"/>
      <c r="D1907" s="25"/>
      <c r="E1907" s="24"/>
    </row>
    <row r="1908" spans="1:5">
      <c r="A1908" s="25"/>
      <c r="B1908" s="25"/>
      <c r="C1908" s="25"/>
      <c r="D1908" s="25"/>
      <c r="E1908" s="24"/>
    </row>
    <row r="1909" spans="1:5">
      <c r="A1909" s="25"/>
      <c r="B1909" s="25"/>
      <c r="C1909" s="25"/>
      <c r="D1909" s="25"/>
      <c r="E1909" s="24"/>
    </row>
    <row r="1910" spans="1:5">
      <c r="A1910" s="25"/>
      <c r="B1910" s="25"/>
      <c r="C1910" s="25"/>
      <c r="D1910" s="25"/>
      <c r="E1910" s="24"/>
    </row>
    <row r="1911" spans="1:5">
      <c r="A1911" s="25"/>
      <c r="B1911" s="25"/>
      <c r="C1911" s="25"/>
      <c r="D1911" s="25"/>
      <c r="E1911" s="24"/>
    </row>
    <row r="1912" spans="1:5">
      <c r="A1912" s="25"/>
      <c r="B1912" s="25"/>
      <c r="C1912" s="25"/>
      <c r="D1912" s="25"/>
      <c r="E1912" s="24"/>
    </row>
    <row r="1913" spans="1:5">
      <c r="A1913" s="25"/>
      <c r="B1913" s="25"/>
      <c r="C1913" s="25"/>
      <c r="D1913" s="25"/>
      <c r="E1913" s="24"/>
    </row>
    <row r="1914" spans="1:5">
      <c r="A1914" s="25"/>
      <c r="B1914" s="25"/>
      <c r="C1914" s="25"/>
      <c r="D1914" s="25"/>
      <c r="E1914" s="24"/>
    </row>
    <row r="1915" spans="1:5">
      <c r="A1915" s="25"/>
      <c r="B1915" s="25"/>
      <c r="C1915" s="25"/>
      <c r="D1915" s="25"/>
      <c r="E1915" s="24"/>
    </row>
    <row r="1916" spans="1:5">
      <c r="A1916" s="25"/>
      <c r="B1916" s="25"/>
      <c r="C1916" s="25"/>
      <c r="D1916" s="25"/>
      <c r="E1916" s="24"/>
    </row>
    <row r="1917" spans="1:5">
      <c r="A1917" s="25"/>
      <c r="B1917" s="25"/>
      <c r="C1917" s="25"/>
      <c r="D1917" s="25"/>
      <c r="E1917" s="24"/>
    </row>
    <row r="1918" spans="1:5">
      <c r="A1918" s="25"/>
      <c r="B1918" s="25"/>
      <c r="C1918" s="25"/>
      <c r="D1918" s="25"/>
      <c r="E1918" s="24"/>
    </row>
    <row r="1919" spans="1:5">
      <c r="A1919" s="25"/>
      <c r="B1919" s="25"/>
      <c r="C1919" s="25"/>
      <c r="D1919" s="25"/>
      <c r="E1919" s="24"/>
    </row>
    <row r="1920" spans="1:5">
      <c r="A1920" s="25"/>
      <c r="B1920" s="25"/>
      <c r="C1920" s="25"/>
      <c r="D1920" s="25"/>
      <c r="E1920" s="24"/>
    </row>
    <row r="1921" spans="1:5">
      <c r="A1921" s="25"/>
      <c r="B1921" s="25"/>
      <c r="C1921" s="25"/>
      <c r="D1921" s="25"/>
      <c r="E1921" s="24"/>
    </row>
    <row r="1922" spans="1:5">
      <c r="A1922" s="25"/>
      <c r="B1922" s="25"/>
      <c r="C1922" s="25"/>
      <c r="D1922" s="25"/>
      <c r="E1922" s="24"/>
    </row>
    <row r="1923" spans="1:5">
      <c r="A1923" s="25"/>
      <c r="B1923" s="25"/>
      <c r="C1923" s="25"/>
      <c r="D1923" s="25"/>
      <c r="E1923" s="24"/>
    </row>
    <row r="1924" spans="1:5">
      <c r="A1924" s="25"/>
      <c r="B1924" s="25"/>
      <c r="C1924" s="25"/>
      <c r="D1924" s="25"/>
      <c r="E1924" s="24"/>
    </row>
    <row r="1925" spans="1:5">
      <c r="A1925" s="25"/>
      <c r="B1925" s="25"/>
      <c r="C1925" s="25"/>
      <c r="D1925" s="25"/>
      <c r="E1925" s="24"/>
    </row>
    <row r="1926" spans="1:5">
      <c r="A1926" s="25"/>
      <c r="B1926" s="25"/>
      <c r="C1926" s="25"/>
      <c r="D1926" s="25"/>
      <c r="E1926" s="24"/>
    </row>
    <row r="1927" spans="1:5">
      <c r="A1927" s="25"/>
      <c r="B1927" s="25"/>
      <c r="C1927" s="25"/>
      <c r="D1927" s="25"/>
      <c r="E1927" s="24"/>
    </row>
    <row r="1928" spans="1:5">
      <c r="A1928" s="25"/>
      <c r="B1928" s="25"/>
      <c r="C1928" s="25"/>
      <c r="D1928" s="25"/>
      <c r="E1928" s="24"/>
    </row>
    <row r="1929" spans="1:5">
      <c r="A1929" s="25"/>
      <c r="B1929" s="25"/>
      <c r="C1929" s="25"/>
      <c r="D1929" s="25"/>
      <c r="E1929" s="24"/>
    </row>
    <row r="1930" spans="1:5">
      <c r="A1930" s="25"/>
      <c r="B1930" s="25"/>
      <c r="C1930" s="25"/>
      <c r="D1930" s="25"/>
      <c r="E1930" s="24"/>
    </row>
    <row r="1931" spans="1:5">
      <c r="A1931" s="25"/>
      <c r="B1931" s="25"/>
      <c r="C1931" s="25"/>
      <c r="D1931" s="25"/>
      <c r="E1931" s="24"/>
    </row>
    <row r="1932" spans="1:5">
      <c r="A1932" s="25"/>
      <c r="B1932" s="25"/>
      <c r="C1932" s="25"/>
      <c r="D1932" s="25"/>
      <c r="E1932" s="24"/>
    </row>
    <row r="1933" spans="1:5">
      <c r="A1933" s="25"/>
      <c r="B1933" s="25"/>
      <c r="C1933" s="25"/>
      <c r="D1933" s="25"/>
      <c r="E1933" s="24"/>
    </row>
    <row r="1934" spans="1:5">
      <c r="A1934" s="25"/>
      <c r="B1934" s="25"/>
      <c r="C1934" s="25"/>
      <c r="D1934" s="25"/>
      <c r="E1934" s="24"/>
    </row>
    <row r="1935" spans="1:5">
      <c r="A1935" s="25"/>
      <c r="B1935" s="25"/>
      <c r="C1935" s="25"/>
      <c r="D1935" s="25"/>
      <c r="E1935" s="24"/>
    </row>
    <row r="1936" spans="1:5">
      <c r="A1936" s="25"/>
      <c r="B1936" s="25"/>
      <c r="C1936" s="25"/>
      <c r="D1936" s="25"/>
      <c r="E1936" s="24"/>
    </row>
    <row r="1937" spans="1:5">
      <c r="A1937" s="25"/>
      <c r="B1937" s="25"/>
      <c r="C1937" s="25"/>
      <c r="D1937" s="25"/>
      <c r="E1937" s="24"/>
    </row>
    <row r="1938" spans="1:5">
      <c r="A1938" s="25"/>
      <c r="B1938" s="25"/>
      <c r="C1938" s="25"/>
      <c r="D1938" s="25"/>
      <c r="E1938" s="24"/>
    </row>
    <row r="1939" spans="1:5">
      <c r="A1939" s="25"/>
      <c r="B1939" s="25"/>
      <c r="C1939" s="25"/>
      <c r="D1939" s="25"/>
      <c r="E1939" s="24"/>
    </row>
    <row r="1940" spans="1:5">
      <c r="A1940" s="25"/>
      <c r="B1940" s="25"/>
      <c r="C1940" s="25"/>
      <c r="D1940" s="25"/>
      <c r="E1940" s="24"/>
    </row>
    <row r="1941" spans="1:5">
      <c r="A1941" s="25"/>
      <c r="B1941" s="25"/>
      <c r="C1941" s="25"/>
      <c r="D1941" s="25"/>
      <c r="E1941" s="24"/>
    </row>
    <row r="1942" spans="1:5">
      <c r="A1942" s="25"/>
      <c r="B1942" s="25"/>
      <c r="C1942" s="25"/>
      <c r="D1942" s="25"/>
      <c r="E1942" s="24"/>
    </row>
    <row r="1943" spans="1:5">
      <c r="A1943" s="25"/>
      <c r="B1943" s="25"/>
      <c r="C1943" s="25"/>
      <c r="D1943" s="25"/>
      <c r="E1943" s="24"/>
    </row>
    <row r="1944" spans="1:5">
      <c r="A1944" s="25"/>
      <c r="B1944" s="25"/>
      <c r="C1944" s="25"/>
      <c r="D1944" s="25"/>
      <c r="E1944" s="24"/>
    </row>
    <row r="1945" spans="1:5">
      <c r="A1945" s="25"/>
      <c r="B1945" s="25"/>
      <c r="C1945" s="25"/>
      <c r="D1945" s="25"/>
      <c r="E1945" s="24"/>
    </row>
    <row r="1946" spans="1:5">
      <c r="A1946" s="25"/>
      <c r="B1946" s="25"/>
      <c r="C1946" s="25"/>
      <c r="D1946" s="25"/>
      <c r="E1946" s="24"/>
    </row>
    <row r="1947" spans="1:5">
      <c r="A1947" s="25"/>
      <c r="B1947" s="25"/>
      <c r="C1947" s="25"/>
      <c r="D1947" s="25"/>
      <c r="E1947" s="24"/>
    </row>
    <row r="1948" spans="1:5">
      <c r="A1948" s="25"/>
      <c r="B1948" s="25"/>
      <c r="C1948" s="25"/>
      <c r="D1948" s="25"/>
      <c r="E1948" s="24"/>
    </row>
    <row r="1949" spans="1:5">
      <c r="A1949" s="25"/>
      <c r="B1949" s="25"/>
      <c r="C1949" s="25"/>
      <c r="D1949" s="25"/>
      <c r="E1949" s="24"/>
    </row>
    <row r="1950" spans="1:5">
      <c r="A1950" s="25"/>
      <c r="B1950" s="25"/>
      <c r="C1950" s="25"/>
      <c r="D1950" s="25"/>
      <c r="E1950" s="24"/>
    </row>
    <row r="1951" spans="1:5">
      <c r="A1951" s="25"/>
      <c r="B1951" s="25"/>
      <c r="C1951" s="25"/>
      <c r="D1951" s="25"/>
      <c r="E1951" s="24"/>
    </row>
    <row r="1952" spans="1:5">
      <c r="A1952" s="25"/>
      <c r="B1952" s="25"/>
      <c r="C1952" s="25"/>
      <c r="D1952" s="25"/>
      <c r="E1952" s="24"/>
    </row>
    <row r="1953" spans="1:5">
      <c r="A1953" s="25"/>
      <c r="B1953" s="25"/>
      <c r="C1953" s="25"/>
      <c r="D1953" s="25"/>
      <c r="E1953" s="24"/>
    </row>
    <row r="1954" spans="1:5">
      <c r="A1954" s="25"/>
      <c r="B1954" s="25"/>
      <c r="C1954" s="25"/>
      <c r="D1954" s="25"/>
      <c r="E1954" s="24"/>
    </row>
    <row r="1955" spans="1:5">
      <c r="A1955" s="25"/>
      <c r="B1955" s="25"/>
      <c r="C1955" s="25"/>
      <c r="D1955" s="25"/>
      <c r="E1955" s="24"/>
    </row>
    <row r="1956" spans="1:5">
      <c r="A1956" s="25"/>
      <c r="B1956" s="25"/>
      <c r="C1956" s="25"/>
      <c r="D1956" s="25"/>
      <c r="E1956" s="24"/>
    </row>
    <row r="1957" spans="1:5">
      <c r="A1957" s="25"/>
      <c r="B1957" s="25"/>
      <c r="C1957" s="25"/>
      <c r="D1957" s="25"/>
      <c r="E1957" s="24"/>
    </row>
    <row r="1958" spans="1:5">
      <c r="A1958" s="25"/>
      <c r="B1958" s="25"/>
      <c r="C1958" s="25"/>
      <c r="D1958" s="25"/>
      <c r="E1958" s="24"/>
    </row>
    <row r="1959" spans="1:5">
      <c r="A1959" s="25"/>
      <c r="B1959" s="25"/>
      <c r="C1959" s="25"/>
      <c r="D1959" s="25"/>
      <c r="E1959" s="24"/>
    </row>
    <row r="1960" spans="1:5">
      <c r="A1960" s="25"/>
      <c r="B1960" s="25"/>
      <c r="C1960" s="25"/>
      <c r="D1960" s="25"/>
      <c r="E1960" s="24"/>
    </row>
    <row r="1961" spans="1:5">
      <c r="A1961" s="25"/>
      <c r="B1961" s="25"/>
      <c r="C1961" s="25"/>
      <c r="D1961" s="25"/>
      <c r="E1961" s="24"/>
    </row>
    <row r="1962" spans="1:5">
      <c r="A1962" s="25"/>
      <c r="B1962" s="25"/>
      <c r="C1962" s="25"/>
      <c r="D1962" s="25"/>
      <c r="E1962" s="24"/>
    </row>
    <row r="1963" spans="1:5">
      <c r="A1963" s="25"/>
      <c r="B1963" s="25"/>
      <c r="C1963" s="25"/>
      <c r="D1963" s="25"/>
      <c r="E1963" s="24"/>
    </row>
    <row r="1964" spans="1:5">
      <c r="A1964" s="25"/>
      <c r="B1964" s="25"/>
      <c r="C1964" s="25"/>
      <c r="D1964" s="25"/>
      <c r="E1964" s="24"/>
    </row>
    <row r="1965" spans="1:5">
      <c r="A1965" s="25"/>
      <c r="B1965" s="25"/>
      <c r="C1965" s="25"/>
      <c r="D1965" s="25"/>
      <c r="E1965" s="24"/>
    </row>
    <row r="1966" spans="1:5">
      <c r="A1966" s="25"/>
      <c r="B1966" s="25"/>
      <c r="C1966" s="25"/>
      <c r="D1966" s="25"/>
      <c r="E1966" s="24"/>
    </row>
    <row r="1967" spans="1:5">
      <c r="A1967" s="25"/>
      <c r="B1967" s="25"/>
      <c r="C1967" s="25"/>
      <c r="D1967" s="25"/>
      <c r="E1967" s="24"/>
    </row>
    <row r="1968" spans="1:5">
      <c r="A1968" s="25"/>
      <c r="B1968" s="25"/>
      <c r="C1968" s="25"/>
      <c r="D1968" s="25"/>
      <c r="E1968" s="24"/>
    </row>
    <row r="1969" spans="1:5">
      <c r="A1969" s="25"/>
      <c r="B1969" s="25"/>
      <c r="C1969" s="25"/>
      <c r="D1969" s="25"/>
      <c r="E1969" s="24"/>
    </row>
    <row r="1970" spans="1:5">
      <c r="A1970" s="25"/>
      <c r="B1970" s="25"/>
      <c r="C1970" s="25"/>
      <c r="D1970" s="25"/>
      <c r="E1970" s="24"/>
    </row>
    <row r="1971" spans="1:5">
      <c r="A1971" s="25"/>
      <c r="B1971" s="25"/>
      <c r="C1971" s="25"/>
      <c r="D1971" s="25"/>
      <c r="E1971" s="24"/>
    </row>
    <row r="1972" spans="1:5">
      <c r="A1972" s="25"/>
      <c r="B1972" s="25"/>
      <c r="C1972" s="25"/>
      <c r="D1972" s="25"/>
      <c r="E1972" s="24"/>
    </row>
    <row r="1973" spans="1:5">
      <c r="A1973" s="25"/>
      <c r="B1973" s="25"/>
      <c r="C1973" s="25"/>
      <c r="D1973" s="25"/>
      <c r="E1973" s="24"/>
    </row>
    <row r="1974" spans="1:5">
      <c r="A1974" s="25"/>
      <c r="B1974" s="25"/>
      <c r="C1974" s="25"/>
      <c r="D1974" s="25"/>
      <c r="E1974" s="24"/>
    </row>
    <row r="1975" spans="1:5">
      <c r="A1975" s="25"/>
      <c r="B1975" s="25"/>
      <c r="C1975" s="25"/>
      <c r="D1975" s="25"/>
      <c r="E1975" s="24"/>
    </row>
    <row r="1976" spans="1:5">
      <c r="A1976" s="25"/>
      <c r="B1976" s="25"/>
      <c r="C1976" s="25"/>
      <c r="D1976" s="25"/>
      <c r="E1976" s="24"/>
    </row>
    <row r="1977" spans="1:5">
      <c r="A1977" s="25"/>
      <c r="B1977" s="25"/>
      <c r="C1977" s="25"/>
      <c r="D1977" s="25"/>
      <c r="E1977" s="24"/>
    </row>
    <row r="1978" spans="1:5">
      <c r="A1978" s="25"/>
      <c r="B1978" s="25"/>
      <c r="C1978" s="25"/>
      <c r="D1978" s="25"/>
      <c r="E1978" s="24"/>
    </row>
    <row r="1979" spans="1:5">
      <c r="A1979" s="25"/>
      <c r="B1979" s="25"/>
      <c r="C1979" s="25"/>
      <c r="D1979" s="25"/>
      <c r="E1979" s="24"/>
    </row>
    <row r="1980" spans="1:5">
      <c r="A1980" s="25"/>
      <c r="B1980" s="25"/>
      <c r="C1980" s="25"/>
      <c r="D1980" s="25"/>
      <c r="E1980" s="24"/>
    </row>
    <row r="1981" spans="1:5">
      <c r="A1981" s="25"/>
      <c r="B1981" s="25"/>
      <c r="C1981" s="25"/>
      <c r="D1981" s="25"/>
      <c r="E1981" s="24"/>
    </row>
    <row r="1982" spans="1:5">
      <c r="A1982" s="25"/>
      <c r="B1982" s="25"/>
      <c r="C1982" s="25"/>
      <c r="D1982" s="25"/>
      <c r="E1982" s="24"/>
    </row>
    <row r="1983" spans="1:5">
      <c r="A1983" s="25"/>
      <c r="B1983" s="25"/>
      <c r="C1983" s="25"/>
      <c r="D1983" s="25"/>
      <c r="E1983" s="24"/>
    </row>
    <row r="1984" spans="1:5">
      <c r="A1984" s="25"/>
      <c r="B1984" s="25"/>
      <c r="C1984" s="25"/>
      <c r="D1984" s="25"/>
      <c r="E1984" s="24"/>
    </row>
    <row r="1985" spans="1:5">
      <c r="A1985" s="25"/>
      <c r="B1985" s="25"/>
      <c r="C1985" s="25"/>
      <c r="D1985" s="25"/>
      <c r="E1985" s="24"/>
    </row>
    <row r="1986" spans="1:5">
      <c r="A1986" s="25"/>
      <c r="B1986" s="25"/>
      <c r="C1986" s="25"/>
      <c r="D1986" s="25"/>
      <c r="E1986" s="24"/>
    </row>
    <row r="1987" spans="1:5">
      <c r="A1987" s="25"/>
      <c r="B1987" s="25"/>
      <c r="C1987" s="25"/>
      <c r="D1987" s="25"/>
      <c r="E1987" s="24"/>
    </row>
    <row r="1988" spans="1:5">
      <c r="A1988" s="25"/>
      <c r="B1988" s="25"/>
      <c r="C1988" s="25"/>
      <c r="D1988" s="25"/>
      <c r="E1988" s="24"/>
    </row>
    <row r="1989" spans="1:5">
      <c r="A1989" s="25"/>
      <c r="B1989" s="25"/>
      <c r="C1989" s="25"/>
      <c r="D1989" s="25"/>
      <c r="E1989" s="24"/>
    </row>
    <row r="1990" spans="1:5">
      <c r="A1990" s="25"/>
      <c r="B1990" s="25"/>
      <c r="C1990" s="25"/>
      <c r="D1990" s="25"/>
      <c r="E1990" s="24"/>
    </row>
    <row r="1991" spans="1:5">
      <c r="A1991" s="25"/>
      <c r="B1991" s="25"/>
      <c r="C1991" s="25"/>
      <c r="D1991" s="25"/>
      <c r="E1991" s="24"/>
    </row>
    <row r="1992" spans="1:5">
      <c r="A1992" s="25"/>
      <c r="B1992" s="25"/>
      <c r="C1992" s="25"/>
      <c r="D1992" s="25"/>
      <c r="E1992" s="24"/>
    </row>
    <row r="1993" spans="1:5">
      <c r="A1993" s="25"/>
      <c r="B1993" s="25"/>
      <c r="C1993" s="25"/>
      <c r="D1993" s="25"/>
      <c r="E1993" s="24"/>
    </row>
    <row r="1994" spans="1:5">
      <c r="A1994" s="25"/>
      <c r="B1994" s="25"/>
      <c r="C1994" s="25"/>
      <c r="D1994" s="25"/>
      <c r="E1994" s="24"/>
    </row>
    <row r="1995" spans="1:5">
      <c r="A1995" s="25"/>
      <c r="B1995" s="25"/>
      <c r="C1995" s="25"/>
      <c r="D1995" s="25"/>
      <c r="E1995" s="24"/>
    </row>
    <row r="1996" spans="1:5">
      <c r="A1996" s="25"/>
      <c r="B1996" s="25"/>
      <c r="C1996" s="25"/>
      <c r="D1996" s="25"/>
      <c r="E1996" s="24"/>
    </row>
    <row r="1997" spans="1:5">
      <c r="A1997" s="25"/>
      <c r="B1997" s="25"/>
      <c r="C1997" s="25"/>
      <c r="D1997" s="25"/>
      <c r="E1997" s="24"/>
    </row>
    <row r="1998" spans="1:5">
      <c r="A1998" s="25"/>
      <c r="B1998" s="25"/>
      <c r="C1998" s="25"/>
      <c r="D1998" s="25"/>
      <c r="E1998" s="24"/>
    </row>
    <row r="1999" spans="1:5">
      <c r="A1999" s="25"/>
      <c r="B1999" s="25"/>
      <c r="C1999" s="25"/>
      <c r="D1999" s="25"/>
      <c r="E1999" s="24"/>
    </row>
    <row r="2000" spans="1:5">
      <c r="A2000" s="25"/>
      <c r="B2000" s="25"/>
      <c r="C2000" s="25"/>
      <c r="D2000" s="25"/>
      <c r="E2000" s="24"/>
    </row>
    <row r="2001" spans="1:5">
      <c r="A2001" s="25"/>
      <c r="B2001" s="25"/>
      <c r="C2001" s="25"/>
      <c r="D2001" s="25"/>
      <c r="E2001" s="24"/>
    </row>
    <row r="2002" spans="1:5">
      <c r="A2002" s="25"/>
      <c r="B2002" s="25"/>
      <c r="C2002" s="25"/>
      <c r="D2002" s="25"/>
      <c r="E2002" s="24"/>
    </row>
    <row r="2003" spans="1:5">
      <c r="A2003" s="25"/>
      <c r="B2003" s="25"/>
      <c r="C2003" s="25"/>
      <c r="D2003" s="25"/>
      <c r="E2003" s="24"/>
    </row>
    <row r="2004" spans="1:5">
      <c r="A2004" s="25"/>
      <c r="B2004" s="25"/>
      <c r="C2004" s="25"/>
      <c r="D2004" s="25"/>
      <c r="E2004" s="24"/>
    </row>
    <row r="2005" spans="1:5">
      <c r="A2005" s="25"/>
      <c r="B2005" s="25"/>
      <c r="C2005" s="25"/>
      <c r="D2005" s="25"/>
      <c r="E2005" s="24"/>
    </row>
    <row r="2006" spans="1:5">
      <c r="A2006" s="25"/>
      <c r="B2006" s="25"/>
      <c r="C2006" s="25"/>
      <c r="D2006" s="25"/>
      <c r="E2006" s="24"/>
    </row>
    <row r="2007" spans="1:5">
      <c r="A2007" s="25"/>
      <c r="B2007" s="25"/>
      <c r="C2007" s="25"/>
      <c r="D2007" s="25"/>
      <c r="E2007" s="24"/>
    </row>
    <row r="2008" spans="1:5">
      <c r="A2008" s="25"/>
      <c r="B2008" s="25"/>
      <c r="C2008" s="25"/>
      <c r="D2008" s="25"/>
      <c r="E2008" s="24"/>
    </row>
    <row r="2009" spans="1:5">
      <c r="A2009" s="25"/>
      <c r="B2009" s="25"/>
      <c r="C2009" s="25"/>
      <c r="D2009" s="25"/>
      <c r="E2009" s="24"/>
    </row>
    <row r="2010" spans="1:5">
      <c r="A2010" s="25"/>
      <c r="B2010" s="25"/>
      <c r="C2010" s="25"/>
      <c r="D2010" s="25"/>
      <c r="E2010" s="24"/>
    </row>
    <row r="2011" spans="1:5">
      <c r="A2011" s="25"/>
      <c r="B2011" s="25"/>
      <c r="C2011" s="25"/>
      <c r="D2011" s="25"/>
      <c r="E2011" s="24"/>
    </row>
    <row r="2012" spans="1:5">
      <c r="A2012" s="25"/>
      <c r="B2012" s="25"/>
      <c r="C2012" s="25"/>
      <c r="D2012" s="25"/>
      <c r="E2012" s="24"/>
    </row>
    <row r="2013" spans="1:5">
      <c r="A2013" s="25"/>
      <c r="B2013" s="25"/>
      <c r="C2013" s="25"/>
      <c r="D2013" s="25"/>
      <c r="E2013" s="24"/>
    </row>
    <row r="2014" spans="1:5">
      <c r="A2014" s="25"/>
      <c r="B2014" s="25"/>
      <c r="C2014" s="25"/>
      <c r="D2014" s="25"/>
      <c r="E2014" s="24"/>
    </row>
    <row r="2015" spans="1:5">
      <c r="A2015" s="25"/>
      <c r="B2015" s="25"/>
      <c r="C2015" s="25"/>
      <c r="D2015" s="25"/>
      <c r="E2015" s="24"/>
    </row>
    <row r="2016" spans="1:5">
      <c r="A2016" s="25"/>
      <c r="B2016" s="25"/>
      <c r="C2016" s="25"/>
      <c r="D2016" s="25"/>
      <c r="E2016" s="24"/>
    </row>
    <row r="2017" spans="1:5">
      <c r="A2017" s="25"/>
      <c r="B2017" s="25"/>
      <c r="C2017" s="25"/>
      <c r="D2017" s="25"/>
      <c r="E2017" s="24"/>
    </row>
    <row r="2018" spans="1:5">
      <c r="A2018" s="25"/>
      <c r="B2018" s="25"/>
      <c r="C2018" s="25"/>
      <c r="D2018" s="25"/>
      <c r="E2018" s="24"/>
    </row>
    <row r="2019" spans="1:5">
      <c r="A2019" s="25"/>
      <c r="B2019" s="25"/>
      <c r="C2019" s="25"/>
      <c r="D2019" s="25"/>
      <c r="E2019" s="24"/>
    </row>
    <row r="2020" spans="1:5">
      <c r="A2020" s="25"/>
      <c r="B2020" s="25"/>
      <c r="C2020" s="25"/>
      <c r="D2020" s="25"/>
      <c r="E2020" s="24"/>
    </row>
    <row r="2021" spans="1:5">
      <c r="A2021" s="25"/>
      <c r="B2021" s="25"/>
      <c r="C2021" s="25"/>
      <c r="D2021" s="25"/>
      <c r="E2021" s="24"/>
    </row>
    <row r="2022" spans="1:5">
      <c r="A2022" s="25"/>
      <c r="B2022" s="25"/>
      <c r="C2022" s="25"/>
      <c r="D2022" s="25"/>
      <c r="E2022" s="24"/>
    </row>
    <row r="2023" spans="1:5">
      <c r="A2023" s="25"/>
      <c r="B2023" s="25"/>
      <c r="C2023" s="25"/>
      <c r="D2023" s="25"/>
      <c r="E2023" s="24"/>
    </row>
    <row r="2024" spans="1:5">
      <c r="A2024" s="25"/>
      <c r="B2024" s="25"/>
      <c r="C2024" s="25"/>
      <c r="D2024" s="25"/>
      <c r="E2024" s="24"/>
    </row>
    <row r="2025" spans="1:5">
      <c r="A2025" s="25"/>
      <c r="B2025" s="25"/>
      <c r="C2025" s="25"/>
      <c r="D2025" s="25"/>
      <c r="E2025" s="24"/>
    </row>
    <row r="2026" spans="1:5">
      <c r="A2026" s="25"/>
      <c r="B2026" s="25"/>
      <c r="C2026" s="25"/>
      <c r="D2026" s="25"/>
      <c r="E2026" s="24"/>
    </row>
    <row r="2027" spans="1:5">
      <c r="A2027" s="25"/>
      <c r="B2027" s="25"/>
      <c r="C2027" s="25"/>
      <c r="D2027" s="25"/>
      <c r="E2027" s="24"/>
    </row>
    <row r="2028" spans="1:5">
      <c r="A2028" s="25"/>
      <c r="B2028" s="25"/>
      <c r="C2028" s="25"/>
      <c r="D2028" s="25"/>
      <c r="E2028" s="24"/>
    </row>
    <row r="2029" spans="1:5">
      <c r="A2029" s="25"/>
      <c r="B2029" s="25"/>
      <c r="C2029" s="25"/>
      <c r="D2029" s="25"/>
      <c r="E2029" s="24"/>
    </row>
    <row r="2030" spans="1:5">
      <c r="A2030" s="25"/>
      <c r="B2030" s="25"/>
      <c r="C2030" s="25"/>
      <c r="D2030" s="25"/>
      <c r="E2030" s="24"/>
    </row>
    <row r="2031" spans="1:5">
      <c r="A2031" s="25"/>
      <c r="B2031" s="25"/>
      <c r="C2031" s="25"/>
      <c r="D2031" s="25"/>
      <c r="E2031" s="24"/>
    </row>
    <row r="2032" spans="1:5">
      <c r="A2032" s="25"/>
      <c r="B2032" s="25"/>
      <c r="C2032" s="25"/>
      <c r="D2032" s="25"/>
      <c r="E2032" s="24"/>
    </row>
    <row r="2033" spans="1:5">
      <c r="A2033" s="25"/>
      <c r="B2033" s="25"/>
      <c r="C2033" s="25"/>
      <c r="D2033" s="25"/>
      <c r="E2033" s="24"/>
    </row>
    <row r="2034" spans="1:5">
      <c r="A2034" s="25"/>
      <c r="B2034" s="25"/>
      <c r="C2034" s="25"/>
      <c r="D2034" s="25"/>
      <c r="E2034" s="24"/>
    </row>
    <row r="2035" spans="1:5">
      <c r="A2035" s="25"/>
      <c r="B2035" s="25"/>
      <c r="C2035" s="25"/>
      <c r="D2035" s="25"/>
      <c r="E2035" s="25"/>
    </row>
    <row r="2036" spans="1:5">
      <c r="A2036" s="25"/>
      <c r="B2036" s="25"/>
      <c r="C2036" s="25"/>
      <c r="D2036" s="25"/>
      <c r="E2036" s="25"/>
    </row>
    <row r="2037" spans="1:5">
      <c r="A2037" s="25"/>
      <c r="B2037" s="25"/>
      <c r="C2037" s="25"/>
      <c r="D2037" s="25"/>
      <c r="E2037" s="25"/>
    </row>
  </sheetData>
  <mergeCells count="4">
    <mergeCell ref="A3:E3"/>
    <mergeCell ref="C5:E5"/>
    <mergeCell ref="F3:G3"/>
    <mergeCell ref="I3:M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workbookViewId="0">
      <selection activeCell="B1" sqref="B1"/>
    </sheetView>
  </sheetViews>
  <sheetFormatPr baseColWidth="10" defaultColWidth="8.83203125" defaultRowHeight="15" x14ac:dyDescent="0"/>
  <cols>
    <col min="1" max="1" width="15" style="45" customWidth="1"/>
    <col min="2" max="2" width="9.33203125" bestFit="1" customWidth="1"/>
    <col min="3" max="3" width="11.83203125" style="36" customWidth="1"/>
    <col min="4" max="4" width="14.5" style="33" customWidth="1"/>
    <col min="5" max="5" width="11.83203125" style="33" customWidth="1"/>
    <col min="6" max="6" width="9.33203125" bestFit="1" customWidth="1"/>
    <col min="7" max="7" width="15.5" customWidth="1"/>
    <col min="8" max="8" width="13.5" style="33" customWidth="1"/>
    <col min="9" max="9" width="11.5" customWidth="1"/>
    <col min="10" max="10" width="11.83203125" customWidth="1"/>
    <col min="11" max="11" width="13" style="30" customWidth="1"/>
    <col min="12" max="12" width="13.1640625" style="30" customWidth="1"/>
  </cols>
  <sheetData>
    <row r="1" spans="1:13">
      <c r="A1" s="39" t="s">
        <v>290</v>
      </c>
      <c r="B1" s="29"/>
      <c r="C1" s="34"/>
      <c r="D1" s="30"/>
      <c r="E1" s="30"/>
      <c r="F1" s="29"/>
      <c r="G1" s="29"/>
      <c r="H1" s="30"/>
      <c r="I1" s="29"/>
      <c r="J1" s="29"/>
      <c r="M1" s="29"/>
    </row>
    <row r="2" spans="1:13" ht="30">
      <c r="A2" s="40" t="s">
        <v>291</v>
      </c>
      <c r="B2" s="29"/>
      <c r="C2" s="34"/>
      <c r="D2" s="30"/>
      <c r="E2" s="30"/>
      <c r="F2" s="29"/>
      <c r="G2" s="29"/>
      <c r="H2" s="30"/>
      <c r="I2" s="29"/>
      <c r="J2" s="29"/>
      <c r="M2" s="29"/>
    </row>
    <row r="3" spans="1:13" ht="15" customHeight="1">
      <c r="A3" s="41"/>
      <c r="B3" s="26"/>
      <c r="C3" s="35"/>
      <c r="D3" s="32"/>
      <c r="E3" s="32"/>
      <c r="F3" s="28"/>
      <c r="G3" s="29"/>
      <c r="H3" s="30"/>
      <c r="I3" s="29"/>
      <c r="J3" s="29"/>
      <c r="M3" s="29"/>
    </row>
    <row r="4" spans="1:13" ht="30">
      <c r="A4" s="40" t="s">
        <v>268</v>
      </c>
      <c r="B4" s="28"/>
      <c r="C4" s="34"/>
      <c r="D4" s="32"/>
      <c r="E4" s="32"/>
      <c r="F4" s="28"/>
      <c r="G4" s="38" t="s">
        <v>292</v>
      </c>
      <c r="H4" s="32">
        <v>1996</v>
      </c>
      <c r="I4" s="26" t="s">
        <v>300</v>
      </c>
      <c r="J4" s="26"/>
      <c r="M4" s="29"/>
    </row>
    <row r="5" spans="1:13">
      <c r="A5" s="42"/>
      <c r="B5" s="28"/>
      <c r="C5" s="35"/>
      <c r="D5" s="32"/>
      <c r="E5" s="32"/>
      <c r="F5" s="28"/>
      <c r="G5" s="55"/>
      <c r="H5" s="55"/>
      <c r="I5" s="28"/>
      <c r="J5" s="28"/>
      <c r="M5" s="29"/>
    </row>
    <row r="6" spans="1:13" ht="30">
      <c r="A6" s="43" t="s">
        <v>282</v>
      </c>
      <c r="B6" s="27" t="s">
        <v>283</v>
      </c>
      <c r="C6" s="47" t="s">
        <v>284</v>
      </c>
      <c r="D6" s="46" t="s">
        <v>285</v>
      </c>
      <c r="E6" s="46" t="s">
        <v>286</v>
      </c>
      <c r="F6" s="27"/>
      <c r="G6" s="26" t="s">
        <v>293</v>
      </c>
      <c r="H6" s="31" t="s">
        <v>294</v>
      </c>
      <c r="I6" s="26" t="s">
        <v>295</v>
      </c>
      <c r="J6" s="26" t="s">
        <v>296</v>
      </c>
      <c r="M6" s="29"/>
    </row>
    <row r="7" spans="1:13">
      <c r="A7" s="43" t="s">
        <v>287</v>
      </c>
      <c r="B7" s="27" t="s">
        <v>288</v>
      </c>
      <c r="C7" s="47" t="s">
        <v>288</v>
      </c>
      <c r="D7" s="46"/>
      <c r="E7" s="46"/>
      <c r="F7" s="27"/>
      <c r="G7" s="26" t="s">
        <v>297</v>
      </c>
      <c r="H7" s="31" t="s">
        <v>287</v>
      </c>
      <c r="I7" s="26" t="s">
        <v>298</v>
      </c>
      <c r="J7" s="26" t="s">
        <v>281</v>
      </c>
      <c r="M7" s="29"/>
    </row>
    <row r="8" spans="1:13">
      <c r="A8" s="42">
        <v>0.45</v>
      </c>
      <c r="B8" s="28">
        <v>90</v>
      </c>
      <c r="C8" s="35">
        <v>9.8000000000000007</v>
      </c>
      <c r="D8" s="32">
        <v>2.387</v>
      </c>
      <c r="E8" s="32">
        <v>351.61500000000001</v>
      </c>
      <c r="F8" s="28"/>
      <c r="G8" s="28">
        <v>0</v>
      </c>
      <c r="H8" s="32">
        <v>0.495</v>
      </c>
      <c r="I8" s="28">
        <v>99</v>
      </c>
      <c r="J8" s="28">
        <v>10.3</v>
      </c>
      <c r="K8" s="32">
        <v>2.8929999999999998</v>
      </c>
      <c r="L8" s="30">
        <v>350.71061286051417</v>
      </c>
      <c r="M8" s="29"/>
    </row>
    <row r="9" spans="1:13">
      <c r="A9" s="42">
        <v>1.425</v>
      </c>
      <c r="B9" s="28">
        <v>105</v>
      </c>
      <c r="C9" s="35">
        <v>10</v>
      </c>
      <c r="D9" s="32">
        <v>2.9449999999999998</v>
      </c>
      <c r="E9" s="32">
        <v>357.113</v>
      </c>
      <c r="F9" s="28"/>
      <c r="G9" s="28">
        <f t="shared" ref="G9:G40" si="0">+G8+(I8/100)</f>
        <v>0.99</v>
      </c>
      <c r="H9" s="32">
        <f t="shared" ref="H9:H40" si="1">+G9+(I9/200)</f>
        <v>1.4450000000000001</v>
      </c>
      <c r="I9" s="28">
        <v>91</v>
      </c>
      <c r="J9" s="28">
        <v>10.3</v>
      </c>
      <c r="K9" s="32">
        <v>2.6920000000000002</v>
      </c>
      <c r="L9" s="30">
        <v>355.03349886702654</v>
      </c>
      <c r="M9" s="29"/>
    </row>
    <row r="10" spans="1:13">
      <c r="A10" s="42">
        <v>2.4449999999999998</v>
      </c>
      <c r="B10" s="28">
        <v>120</v>
      </c>
      <c r="C10" s="35">
        <v>10</v>
      </c>
      <c r="D10" s="32">
        <v>3.742</v>
      </c>
      <c r="E10" s="32">
        <v>397.03899999999999</v>
      </c>
      <c r="F10" s="28"/>
      <c r="G10" s="28">
        <f t="shared" si="0"/>
        <v>1.9</v>
      </c>
      <c r="H10" s="32">
        <f t="shared" si="1"/>
        <v>2.37</v>
      </c>
      <c r="I10" s="28">
        <v>94</v>
      </c>
      <c r="J10" s="28">
        <v>10.3</v>
      </c>
      <c r="K10" s="32">
        <v>3.0880000000000001</v>
      </c>
      <c r="L10" s="30">
        <v>394.26216942882513</v>
      </c>
      <c r="M10" s="29"/>
    </row>
    <row r="11" spans="1:13">
      <c r="A11" s="42"/>
      <c r="B11" s="28">
        <v>104</v>
      </c>
      <c r="C11" s="35">
        <v>10.1</v>
      </c>
      <c r="D11" s="32">
        <v>3.5350000000000001</v>
      </c>
      <c r="E11" s="32">
        <v>424.25200000000001</v>
      </c>
      <c r="F11" s="28"/>
      <c r="G11" s="28">
        <f t="shared" si="0"/>
        <v>2.84</v>
      </c>
      <c r="H11" s="32">
        <f t="shared" si="1"/>
        <v>3.3849999999999998</v>
      </c>
      <c r="I11" s="28">
        <v>109</v>
      </c>
      <c r="J11" s="28">
        <v>10.3</v>
      </c>
      <c r="K11" s="32">
        <v>3.75</v>
      </c>
      <c r="L11" s="30">
        <v>412.89577507386042</v>
      </c>
      <c r="M11" s="29"/>
    </row>
    <row r="12" spans="1:13">
      <c r="A12" s="42">
        <v>3.4449999999999998</v>
      </c>
      <c r="B12" s="28">
        <v>53</v>
      </c>
      <c r="C12" s="35">
        <v>10.199999999999999</v>
      </c>
      <c r="D12" s="32">
        <v>1.95</v>
      </c>
      <c r="E12" s="32">
        <v>450.26499999999999</v>
      </c>
      <c r="F12" s="28"/>
      <c r="G12" s="28">
        <f t="shared" si="0"/>
        <v>3.9299999999999997</v>
      </c>
      <c r="H12" s="32">
        <f t="shared" si="1"/>
        <v>4.4949999999999992</v>
      </c>
      <c r="I12" s="28">
        <v>113</v>
      </c>
      <c r="J12" s="28">
        <v>10.4</v>
      </c>
      <c r="K12" s="32">
        <v>4.3849999999999998</v>
      </c>
      <c r="L12" s="30">
        <v>456.80893953105249</v>
      </c>
      <c r="M12" s="29"/>
    </row>
    <row r="13" spans="1:13">
      <c r="A13" s="42">
        <v>4.4649999999999999</v>
      </c>
      <c r="B13" s="28">
        <v>94</v>
      </c>
      <c r="C13" s="35">
        <v>10.08</v>
      </c>
      <c r="D13" s="31" t="s">
        <v>289</v>
      </c>
      <c r="E13" s="32"/>
      <c r="F13" s="28"/>
      <c r="G13" s="28">
        <f t="shared" si="0"/>
        <v>5.0599999999999996</v>
      </c>
      <c r="H13" s="32">
        <f t="shared" si="1"/>
        <v>5.6</v>
      </c>
      <c r="I13" s="28">
        <v>108</v>
      </c>
      <c r="J13" s="28">
        <v>10.6</v>
      </c>
      <c r="K13" s="32">
        <v>4.4089999999999998</v>
      </c>
      <c r="L13" s="30">
        <v>462.60969640716104</v>
      </c>
      <c r="M13" s="29"/>
    </row>
    <row r="14" spans="1:13">
      <c r="A14" s="42">
        <v>5.48</v>
      </c>
      <c r="B14" s="28">
        <v>118</v>
      </c>
      <c r="C14" s="35">
        <v>10.4</v>
      </c>
      <c r="D14" s="32">
        <v>4.7009999999999996</v>
      </c>
      <c r="E14" s="32">
        <v>468.97699999999998</v>
      </c>
      <c r="F14" s="28"/>
      <c r="G14" s="28">
        <f t="shared" si="0"/>
        <v>6.14</v>
      </c>
      <c r="H14" s="32">
        <f t="shared" si="1"/>
        <v>6.6499999999999995</v>
      </c>
      <c r="I14" s="28">
        <v>102</v>
      </c>
      <c r="J14" s="28">
        <v>10.6</v>
      </c>
      <c r="K14" s="32">
        <v>4.2619999999999996</v>
      </c>
      <c r="L14" s="30">
        <v>473.49092724202882</v>
      </c>
      <c r="M14" s="29"/>
    </row>
    <row r="15" spans="1:13">
      <c r="A15" s="42">
        <v>6.51</v>
      </c>
      <c r="B15" s="28">
        <v>99</v>
      </c>
      <c r="C15" s="35">
        <v>10.5</v>
      </c>
      <c r="D15" s="32">
        <v>4.226</v>
      </c>
      <c r="E15" s="32">
        <v>492.976</v>
      </c>
      <c r="F15" s="28"/>
      <c r="G15" s="28">
        <f t="shared" si="0"/>
        <v>7.16</v>
      </c>
      <c r="H15" s="32">
        <f t="shared" si="1"/>
        <v>7.55</v>
      </c>
      <c r="I15" s="28">
        <v>78</v>
      </c>
      <c r="J15" s="28">
        <v>10.6</v>
      </c>
      <c r="K15" s="32">
        <v>3.2120000000000002</v>
      </c>
      <c r="L15" s="30">
        <v>466.63716188000819</v>
      </c>
      <c r="M15" s="29"/>
    </row>
    <row r="16" spans="1:13">
      <c r="A16" s="42">
        <v>7.5449999999999999</v>
      </c>
      <c r="B16" s="28">
        <v>100</v>
      </c>
      <c r="C16" s="35">
        <v>10.6</v>
      </c>
      <c r="D16" s="32">
        <v>4.12</v>
      </c>
      <c r="E16" s="32">
        <v>466.87</v>
      </c>
      <c r="F16" s="28"/>
      <c r="G16" s="28">
        <f t="shared" si="0"/>
        <v>7.94</v>
      </c>
      <c r="H16" s="32">
        <f t="shared" si="1"/>
        <v>8.5150000000000006</v>
      </c>
      <c r="I16" s="28">
        <v>115</v>
      </c>
      <c r="J16" s="28">
        <v>10.6</v>
      </c>
      <c r="K16" s="32">
        <v>5.1189999999999998</v>
      </c>
      <c r="L16" s="30">
        <v>504.41231054678985</v>
      </c>
      <c r="M16" s="29"/>
    </row>
    <row r="17" spans="1:13">
      <c r="A17" s="42">
        <v>8.56</v>
      </c>
      <c r="B17" s="28">
        <v>104</v>
      </c>
      <c r="C17" s="35">
        <v>10.7</v>
      </c>
      <c r="D17" s="32">
        <v>4.766</v>
      </c>
      <c r="E17" s="32">
        <v>509.64</v>
      </c>
      <c r="F17" s="28"/>
      <c r="G17" s="28">
        <f t="shared" si="0"/>
        <v>9.09</v>
      </c>
      <c r="H17" s="32">
        <f t="shared" si="1"/>
        <v>9.5299999999999994</v>
      </c>
      <c r="I17" s="28">
        <v>88</v>
      </c>
      <c r="J17" s="28">
        <v>10.6</v>
      </c>
      <c r="K17" s="32">
        <v>3.9780000000000002</v>
      </c>
      <c r="L17" s="30">
        <v>512.24826339004483</v>
      </c>
      <c r="M17" s="29"/>
    </row>
    <row r="18" spans="1:13">
      <c r="A18" s="42">
        <v>9.57</v>
      </c>
      <c r="B18" s="28">
        <v>101</v>
      </c>
      <c r="C18" s="35">
        <v>10.7</v>
      </c>
      <c r="D18" s="32">
        <v>4.6020000000000003</v>
      </c>
      <c r="E18" s="32">
        <v>506.72</v>
      </c>
      <c r="F18" s="28"/>
      <c r="G18" s="28">
        <f t="shared" si="0"/>
        <v>9.9700000000000006</v>
      </c>
      <c r="H18" s="32">
        <f t="shared" si="1"/>
        <v>10.46</v>
      </c>
      <c r="I18" s="28">
        <v>98</v>
      </c>
      <c r="J18" s="28">
        <v>10.6</v>
      </c>
      <c r="K18" s="32">
        <v>4.3650000000000002</v>
      </c>
      <c r="L18" s="30">
        <v>504.7270265372407</v>
      </c>
      <c r="M18" s="29"/>
    </row>
    <row r="19" spans="1:13">
      <c r="A19" s="42">
        <v>10.565</v>
      </c>
      <c r="B19" s="28">
        <v>102</v>
      </c>
      <c r="C19" s="35">
        <v>10.7</v>
      </c>
      <c r="D19" s="32">
        <v>4.657</v>
      </c>
      <c r="E19" s="32">
        <v>507.74799999999999</v>
      </c>
      <c r="F19" s="28"/>
      <c r="G19" s="28">
        <f t="shared" si="0"/>
        <v>10.950000000000001</v>
      </c>
      <c r="H19" s="32">
        <f t="shared" si="1"/>
        <v>11.445</v>
      </c>
      <c r="I19" s="28">
        <v>99</v>
      </c>
      <c r="J19" s="28">
        <v>10.6</v>
      </c>
      <c r="K19" s="32">
        <v>4.6539999999999999</v>
      </c>
      <c r="L19" s="30">
        <v>532.7084336779551</v>
      </c>
      <c r="M19" s="29"/>
    </row>
    <row r="20" spans="1:13">
      <c r="A20" s="42">
        <v>11.56</v>
      </c>
      <c r="B20" s="28">
        <v>103</v>
      </c>
      <c r="C20" s="35">
        <v>10.7</v>
      </c>
      <c r="D20" s="32">
        <v>4.923</v>
      </c>
      <c r="E20" s="32">
        <v>531.53899999999999</v>
      </c>
      <c r="F20" s="28"/>
      <c r="G20" s="28">
        <f t="shared" si="0"/>
        <v>11.940000000000001</v>
      </c>
      <c r="H20" s="32">
        <f t="shared" si="1"/>
        <v>12.435</v>
      </c>
      <c r="I20" s="28">
        <v>99</v>
      </c>
      <c r="J20" s="28">
        <v>10.695</v>
      </c>
      <c r="K20" s="32">
        <v>4.6879999999999997</v>
      </c>
      <c r="L20" s="30">
        <v>527.10962833108988</v>
      </c>
      <c r="M20" s="29"/>
    </row>
    <row r="21" spans="1:13">
      <c r="A21" s="42">
        <v>12.585000000000001</v>
      </c>
      <c r="B21" s="28">
        <v>103</v>
      </c>
      <c r="C21" s="35">
        <v>10.7</v>
      </c>
      <c r="D21" s="32">
        <v>4.915</v>
      </c>
      <c r="E21" s="32">
        <v>530.67499999999995</v>
      </c>
      <c r="F21" s="28"/>
      <c r="G21" s="28">
        <f t="shared" si="0"/>
        <v>12.930000000000001</v>
      </c>
      <c r="H21" s="32">
        <f t="shared" si="1"/>
        <v>13.440000000000001</v>
      </c>
      <c r="I21" s="28">
        <v>102</v>
      </c>
      <c r="J21" s="28">
        <v>10.695</v>
      </c>
      <c r="K21" s="32">
        <v>5.0270000000000001</v>
      </c>
      <c r="L21" s="30">
        <v>548.60183292431782</v>
      </c>
      <c r="M21" s="29"/>
    </row>
    <row r="22" spans="1:13">
      <c r="A22" s="42">
        <v>13.61</v>
      </c>
      <c r="B22" s="28">
        <v>103</v>
      </c>
      <c r="C22" s="35">
        <v>10.7</v>
      </c>
      <c r="D22" s="32">
        <v>5.0609999999999999</v>
      </c>
      <c r="E22" s="32">
        <v>546.43899999999996</v>
      </c>
      <c r="F22" s="28"/>
      <c r="G22" s="28">
        <f t="shared" si="0"/>
        <v>13.950000000000001</v>
      </c>
      <c r="H22" s="32">
        <f t="shared" si="1"/>
        <v>14.420000000000002</v>
      </c>
      <c r="I22" s="28">
        <v>94</v>
      </c>
      <c r="J22" s="28">
        <v>10.695</v>
      </c>
      <c r="K22" s="32">
        <v>4.6470000000000002</v>
      </c>
      <c r="L22" s="30">
        <v>550.29220336804428</v>
      </c>
      <c r="M22" s="29"/>
    </row>
    <row r="23" spans="1:13">
      <c r="A23" s="42">
        <v>14.618</v>
      </c>
      <c r="B23" s="28">
        <v>102</v>
      </c>
      <c r="C23" s="35">
        <v>10.7</v>
      </c>
      <c r="D23" s="32">
        <v>5.1840000000000002</v>
      </c>
      <c r="E23" s="32">
        <v>565.20699999999999</v>
      </c>
      <c r="F23" s="28"/>
      <c r="G23" s="28">
        <f t="shared" si="0"/>
        <v>14.89</v>
      </c>
      <c r="H23" s="32">
        <f t="shared" si="1"/>
        <v>15.360000000000001</v>
      </c>
      <c r="I23" s="28">
        <v>94</v>
      </c>
      <c r="J23" s="28">
        <v>10.695</v>
      </c>
      <c r="K23" s="32">
        <v>4.7519999999999998</v>
      </c>
      <c r="L23" s="30">
        <v>562.72617826661212</v>
      </c>
      <c r="M23" s="29"/>
    </row>
    <row r="24" spans="1:13">
      <c r="A24" s="42">
        <v>15.62</v>
      </c>
      <c r="B24" s="28">
        <v>104</v>
      </c>
      <c r="C24" s="35">
        <v>10.7</v>
      </c>
      <c r="D24" s="32">
        <v>5.3159999999999998</v>
      </c>
      <c r="E24" s="32">
        <v>568.45299999999997</v>
      </c>
      <c r="F24" s="28"/>
      <c r="G24" s="28">
        <f t="shared" si="0"/>
        <v>15.83</v>
      </c>
      <c r="H24" s="32">
        <f t="shared" si="1"/>
        <v>16.32</v>
      </c>
      <c r="I24" s="28">
        <v>98</v>
      </c>
      <c r="J24" s="28">
        <v>10.695</v>
      </c>
      <c r="K24" s="32">
        <v>5.0140000000000002</v>
      </c>
      <c r="L24" s="30">
        <v>569.51713443084509</v>
      </c>
      <c r="M24" s="29"/>
    </row>
    <row r="25" spans="1:13">
      <c r="A25" s="42">
        <v>16.613</v>
      </c>
      <c r="B25" s="28">
        <v>101</v>
      </c>
      <c r="C25" s="35">
        <v>10.7</v>
      </c>
      <c r="D25" s="32">
        <v>5.181</v>
      </c>
      <c r="E25" s="32">
        <v>570.47299999999996</v>
      </c>
      <c r="F25" s="28"/>
      <c r="G25" s="28">
        <f t="shared" si="0"/>
        <v>16.809999999999999</v>
      </c>
      <c r="H25" s="32">
        <f t="shared" si="1"/>
        <v>17.305</v>
      </c>
      <c r="I25" s="28">
        <v>99</v>
      </c>
      <c r="J25" s="28">
        <v>10.695</v>
      </c>
      <c r="K25" s="32">
        <v>5.1050000000000004</v>
      </c>
      <c r="L25" s="30">
        <v>573.99629962248594</v>
      </c>
      <c r="M25" s="29"/>
    </row>
    <row r="26" spans="1:13">
      <c r="A26" s="42">
        <v>17.614999999999998</v>
      </c>
      <c r="B26" s="28">
        <v>99</v>
      </c>
      <c r="C26" s="35">
        <v>10.7</v>
      </c>
      <c r="D26" s="32">
        <v>5.1710000000000003</v>
      </c>
      <c r="E26" s="32">
        <v>580.87400000000002</v>
      </c>
      <c r="F26" s="28"/>
      <c r="G26" s="28">
        <f t="shared" si="0"/>
        <v>17.799999999999997</v>
      </c>
      <c r="H26" s="32">
        <f t="shared" si="1"/>
        <v>18.284999999999997</v>
      </c>
      <c r="I26" s="28">
        <v>97</v>
      </c>
      <c r="J26" s="28">
        <v>10.695</v>
      </c>
      <c r="K26" s="32">
        <v>5.048</v>
      </c>
      <c r="L26" s="30">
        <v>579.29016171519049</v>
      </c>
      <c r="M26" s="29"/>
    </row>
    <row r="27" spans="1:13">
      <c r="A27" s="42">
        <v>18.63</v>
      </c>
      <c r="B27" s="28">
        <v>109</v>
      </c>
      <c r="C27" s="35">
        <v>10.7</v>
      </c>
      <c r="D27" s="32">
        <v>5.9080000000000004</v>
      </c>
      <c r="E27" s="32">
        <v>602.77700000000004</v>
      </c>
      <c r="F27" s="28"/>
      <c r="G27" s="28">
        <f t="shared" si="0"/>
        <v>18.769999999999996</v>
      </c>
      <c r="H27" s="32">
        <f t="shared" si="1"/>
        <v>19.284999999999997</v>
      </c>
      <c r="I27" s="28">
        <v>103</v>
      </c>
      <c r="J27" s="28">
        <v>10.695</v>
      </c>
      <c r="K27" s="32">
        <v>5.4450000000000003</v>
      </c>
      <c r="L27" s="30">
        <v>588.44950275857366</v>
      </c>
      <c r="M27" s="29"/>
    </row>
    <row r="28" spans="1:13">
      <c r="A28" s="42">
        <v>19.64</v>
      </c>
      <c r="B28" s="28">
        <v>108</v>
      </c>
      <c r="C28" s="35">
        <v>10.7</v>
      </c>
      <c r="D28" s="32">
        <v>5.8109999999999999</v>
      </c>
      <c r="E28" s="32">
        <v>598.37</v>
      </c>
      <c r="F28" s="28"/>
      <c r="G28" s="28">
        <f t="shared" si="0"/>
        <v>19.799999999999997</v>
      </c>
      <c r="H28" s="32">
        <f t="shared" si="1"/>
        <v>20.234999999999996</v>
      </c>
      <c r="I28" s="28">
        <v>87</v>
      </c>
      <c r="J28" s="28">
        <v>10.695</v>
      </c>
      <c r="K28" s="32">
        <v>4.5940000000000003</v>
      </c>
      <c r="L28" s="30">
        <v>587.78740933748645</v>
      </c>
      <c r="M28" s="29"/>
    </row>
    <row r="29" spans="1:13">
      <c r="A29" s="42">
        <v>20.484999999999999</v>
      </c>
      <c r="B29" s="28">
        <v>106</v>
      </c>
      <c r="C29" s="35">
        <v>10.7</v>
      </c>
      <c r="D29" s="32">
        <v>5.766</v>
      </c>
      <c r="E29" s="32">
        <v>604.93899999999996</v>
      </c>
      <c r="F29" s="28"/>
      <c r="G29" s="28">
        <f t="shared" si="0"/>
        <v>20.669999999999998</v>
      </c>
      <c r="H29" s="32">
        <f t="shared" si="1"/>
        <v>21.15</v>
      </c>
      <c r="I29" s="28">
        <v>96</v>
      </c>
      <c r="J29" s="28">
        <v>10.695</v>
      </c>
      <c r="K29" s="32">
        <v>5.0599999999999996</v>
      </c>
      <c r="L29" s="30">
        <v>586.71585523361136</v>
      </c>
      <c r="M29" s="29"/>
    </row>
    <row r="30" spans="1:13">
      <c r="A30" s="42">
        <v>21.364999999999998</v>
      </c>
      <c r="B30" s="28"/>
      <c r="C30" s="35"/>
      <c r="D30" s="32"/>
      <c r="E30" s="32"/>
      <c r="F30" s="28"/>
      <c r="G30" s="28">
        <f t="shared" si="0"/>
        <v>21.63</v>
      </c>
      <c r="H30" s="32">
        <f t="shared" si="1"/>
        <v>22.175000000000001</v>
      </c>
      <c r="I30" s="28">
        <v>109</v>
      </c>
      <c r="J30" s="28">
        <v>10.695</v>
      </c>
      <c r="K30" s="32">
        <v>5.9039999999999999</v>
      </c>
      <c r="L30" s="30">
        <v>602.93207979970111</v>
      </c>
      <c r="M30" s="29"/>
    </row>
    <row r="31" spans="1:13">
      <c r="A31" s="42"/>
      <c r="B31" s="28"/>
      <c r="C31" s="35"/>
      <c r="D31" s="32"/>
      <c r="E31" s="32"/>
      <c r="F31" s="28"/>
      <c r="G31" s="28">
        <f t="shared" si="0"/>
        <v>22.72</v>
      </c>
      <c r="H31" s="32">
        <f t="shared" si="1"/>
        <v>23.24</v>
      </c>
      <c r="I31" s="28">
        <v>104</v>
      </c>
      <c r="J31" s="28">
        <v>10.695</v>
      </c>
      <c r="K31" s="32">
        <v>5.8410000000000002</v>
      </c>
      <c r="L31" s="30">
        <v>625.17615878738638</v>
      </c>
      <c r="M31" s="29"/>
    </row>
    <row r="32" spans="1:13">
      <c r="A32" s="42"/>
      <c r="B32" s="28"/>
      <c r="C32" s="35"/>
      <c r="D32" s="32"/>
      <c r="E32" s="32"/>
      <c r="F32" s="28"/>
      <c r="G32" s="28">
        <f t="shared" si="0"/>
        <v>23.759999999999998</v>
      </c>
      <c r="H32" s="32">
        <f t="shared" si="1"/>
        <v>24.259999999999998</v>
      </c>
      <c r="I32" s="28">
        <v>100</v>
      </c>
      <c r="J32" s="28">
        <v>10.695</v>
      </c>
      <c r="K32" s="32">
        <v>5.53</v>
      </c>
      <c r="L32" s="30">
        <v>615.56465064509791</v>
      </c>
      <c r="M32" s="29"/>
    </row>
    <row r="33" spans="1:13">
      <c r="A33" s="44"/>
      <c r="B33" s="29"/>
      <c r="C33" s="34"/>
      <c r="D33" s="30"/>
      <c r="E33" s="30"/>
      <c r="F33" s="29"/>
      <c r="G33" s="28">
        <f t="shared" si="0"/>
        <v>24.759999999999998</v>
      </c>
      <c r="H33" s="32">
        <f t="shared" si="1"/>
        <v>25.259999999999998</v>
      </c>
      <c r="I33" s="28">
        <v>100</v>
      </c>
      <c r="J33" s="28">
        <v>10.695</v>
      </c>
      <c r="K33" s="32">
        <v>5.53</v>
      </c>
      <c r="L33" s="30">
        <v>615.56465064509791</v>
      </c>
      <c r="M33" s="29"/>
    </row>
    <row r="34" spans="1:13">
      <c r="A34" s="44"/>
      <c r="B34" s="29"/>
      <c r="C34" s="34"/>
      <c r="D34" s="30"/>
      <c r="E34" s="30"/>
      <c r="F34" s="29"/>
      <c r="G34" s="28">
        <f t="shared" si="0"/>
        <v>25.759999999999998</v>
      </c>
      <c r="H34" s="32">
        <f t="shared" si="1"/>
        <v>26.244999999999997</v>
      </c>
      <c r="I34" s="28">
        <v>97</v>
      </c>
      <c r="J34" s="28">
        <v>10.695</v>
      </c>
      <c r="K34" s="32">
        <v>5.4240000000000004</v>
      </c>
      <c r="L34" s="30">
        <v>622.43855727876257</v>
      </c>
      <c r="M34" s="29"/>
    </row>
    <row r="35" spans="1:13">
      <c r="A35" s="44"/>
      <c r="B35" s="29"/>
      <c r="C35" s="34"/>
      <c r="D35" s="30"/>
      <c r="E35" s="30"/>
      <c r="F35" s="29"/>
      <c r="G35" s="28">
        <f t="shared" si="0"/>
        <v>26.729999999999997</v>
      </c>
      <c r="H35" s="32">
        <f t="shared" si="1"/>
        <v>27.244999999999997</v>
      </c>
      <c r="I35" s="28">
        <v>103</v>
      </c>
      <c r="J35" s="28">
        <v>10.695</v>
      </c>
      <c r="K35" s="32">
        <v>5.8869999999999996</v>
      </c>
      <c r="L35" s="30">
        <v>636.21712079701058</v>
      </c>
      <c r="M35" s="29"/>
    </row>
    <row r="36" spans="1:13">
      <c r="A36" s="44"/>
      <c r="B36" s="29"/>
      <c r="C36" s="34"/>
      <c r="D36" s="30"/>
      <c r="E36" s="30"/>
      <c r="F36" s="29"/>
      <c r="G36" s="28">
        <f t="shared" si="0"/>
        <v>27.759999999999998</v>
      </c>
      <c r="H36" s="32">
        <f t="shared" si="1"/>
        <v>28.259999999999998</v>
      </c>
      <c r="I36" s="28">
        <v>100</v>
      </c>
      <c r="J36" s="28">
        <v>10.695</v>
      </c>
      <c r="K36" s="32">
        <v>5.7119999999999997</v>
      </c>
      <c r="L36" s="30">
        <v>635.82374041316439</v>
      </c>
      <c r="M36" s="29"/>
    </row>
    <row r="37" spans="1:13">
      <c r="A37" s="44"/>
      <c r="B37" s="29"/>
      <c r="C37" s="34"/>
      <c r="D37" s="30"/>
      <c r="E37" s="30"/>
      <c r="F37" s="29"/>
      <c r="G37" s="28">
        <f t="shared" si="0"/>
        <v>28.759999999999998</v>
      </c>
      <c r="H37" s="32">
        <f t="shared" si="1"/>
        <v>29.254999999999999</v>
      </c>
      <c r="I37" s="28">
        <v>99</v>
      </c>
      <c r="J37" s="28">
        <v>10.695</v>
      </c>
      <c r="K37" s="32">
        <v>5.6669999999999998</v>
      </c>
      <c r="L37" s="30">
        <v>637.18648970825211</v>
      </c>
      <c r="M37" s="29"/>
    </row>
    <row r="38" spans="1:13">
      <c r="A38" s="44"/>
      <c r="B38" s="29"/>
      <c r="C38" s="34"/>
      <c r="D38" s="30"/>
      <c r="E38" s="30"/>
      <c r="F38" s="29"/>
      <c r="G38" s="28">
        <f t="shared" si="0"/>
        <v>29.749999999999996</v>
      </c>
      <c r="H38" s="32">
        <f t="shared" si="1"/>
        <v>30.249999999999996</v>
      </c>
      <c r="I38" s="28">
        <v>100</v>
      </c>
      <c r="J38" s="28">
        <v>10.695</v>
      </c>
      <c r="K38" s="32">
        <v>5.8239999999999998</v>
      </c>
      <c r="L38" s="30">
        <v>648.29087257812841</v>
      </c>
      <c r="M38" s="29"/>
    </row>
    <row r="39" spans="1:13">
      <c r="A39" s="44"/>
      <c r="B39" s="29"/>
      <c r="C39" s="34"/>
      <c r="D39" s="30"/>
      <c r="E39" s="30"/>
      <c r="F39" s="29"/>
      <c r="G39" s="28">
        <f t="shared" si="0"/>
        <v>30.749999999999996</v>
      </c>
      <c r="H39" s="32">
        <f t="shared" si="1"/>
        <v>31.234999999999996</v>
      </c>
      <c r="I39" s="28">
        <v>97</v>
      </c>
      <c r="J39" s="28">
        <v>10.695</v>
      </c>
      <c r="K39" s="32">
        <v>5.7279999999999998</v>
      </c>
      <c r="L39" s="30">
        <v>657.32449411739515</v>
      </c>
      <c r="M39" s="29"/>
    </row>
    <row r="40" spans="1:13">
      <c r="A40" s="44"/>
      <c r="B40" s="29"/>
      <c r="C40" s="34"/>
      <c r="D40" s="30"/>
      <c r="E40" s="30"/>
      <c r="F40" s="29"/>
      <c r="G40" s="28">
        <f t="shared" si="0"/>
        <v>31.719999999999995</v>
      </c>
      <c r="H40" s="32">
        <f t="shared" si="1"/>
        <v>32.22</v>
      </c>
      <c r="I40" s="28">
        <v>100</v>
      </c>
      <c r="J40" s="28">
        <v>10.695</v>
      </c>
      <c r="K40" s="32">
        <v>5.875</v>
      </c>
      <c r="L40" s="30">
        <v>653.96787026038885</v>
      </c>
      <c r="M40" s="29"/>
    </row>
    <row r="41" spans="1:13">
      <c r="A41" s="44"/>
      <c r="B41" s="29"/>
      <c r="C41" s="34"/>
      <c r="D41" s="30"/>
      <c r="E41" s="30"/>
      <c r="F41" s="29"/>
      <c r="G41" s="28">
        <f t="shared" ref="G41:G72" si="2">+G40+(I40/100)</f>
        <v>32.72</v>
      </c>
      <c r="H41" s="32">
        <f t="shared" ref="H41:H72" si="3">+G41+(I41/200)</f>
        <v>33.174999999999997</v>
      </c>
      <c r="I41" s="28">
        <v>91</v>
      </c>
      <c r="J41" s="28">
        <v>10.695</v>
      </c>
      <c r="K41" s="32">
        <v>5.2880000000000003</v>
      </c>
      <c r="L41" s="30">
        <v>646.84257151029908</v>
      </c>
      <c r="M41" s="29"/>
    </row>
    <row r="42" spans="1:13">
      <c r="A42" s="44"/>
      <c r="B42" s="29"/>
      <c r="C42" s="34"/>
      <c r="D42" s="30"/>
      <c r="E42" s="30"/>
      <c r="F42" s="29"/>
      <c r="G42" s="28">
        <f t="shared" si="2"/>
        <v>33.629999999999995</v>
      </c>
      <c r="H42" s="32">
        <f t="shared" si="3"/>
        <v>34.154999999999994</v>
      </c>
      <c r="I42" s="28">
        <v>105</v>
      </c>
      <c r="J42" s="28">
        <v>10.695</v>
      </c>
      <c r="K42" s="32">
        <v>6.1970000000000001</v>
      </c>
      <c r="L42" s="30">
        <v>656.96273831872429</v>
      </c>
      <c r="M42" s="29"/>
    </row>
    <row r="43" spans="1:13">
      <c r="A43" s="44"/>
      <c r="B43" s="29"/>
      <c r="C43" s="34"/>
      <c r="D43" s="30"/>
      <c r="E43" s="30"/>
      <c r="F43" s="29"/>
      <c r="G43" s="28">
        <f t="shared" si="2"/>
        <v>34.679999999999993</v>
      </c>
      <c r="H43" s="32">
        <f t="shared" si="3"/>
        <v>35.159999999999989</v>
      </c>
      <c r="I43" s="28">
        <v>96</v>
      </c>
      <c r="J43" s="28">
        <v>10.695</v>
      </c>
      <c r="K43" s="32">
        <v>5.8620000000000001</v>
      </c>
      <c r="L43" s="30">
        <v>679.7091587706384</v>
      </c>
      <c r="M43" s="29"/>
    </row>
    <row r="44" spans="1:13">
      <c r="A44" s="44"/>
      <c r="B44" s="29"/>
      <c r="C44" s="34"/>
      <c r="D44" s="30"/>
      <c r="E44" s="30"/>
      <c r="F44" s="29"/>
      <c r="G44" s="28">
        <f t="shared" si="2"/>
        <v>35.639999999999993</v>
      </c>
      <c r="H44" s="32">
        <f t="shared" si="3"/>
        <v>36.104999999999997</v>
      </c>
      <c r="I44" s="28">
        <v>93</v>
      </c>
      <c r="J44" s="28">
        <v>10.695</v>
      </c>
      <c r="K44" s="32">
        <v>5.67</v>
      </c>
      <c r="L44" s="30">
        <v>678.65437188312137</v>
      </c>
      <c r="M44" s="29"/>
    </row>
    <row r="45" spans="1:13">
      <c r="A45" s="44"/>
      <c r="B45" s="29"/>
      <c r="C45" s="34"/>
      <c r="D45" s="30"/>
      <c r="E45" s="30"/>
      <c r="F45" s="29"/>
      <c r="G45" s="28">
        <f t="shared" si="2"/>
        <v>36.569999999999993</v>
      </c>
      <c r="H45" s="32">
        <f t="shared" si="3"/>
        <v>37.124999999999993</v>
      </c>
      <c r="I45" s="28">
        <v>111</v>
      </c>
      <c r="J45" s="28">
        <v>10.695</v>
      </c>
      <c r="K45" s="32">
        <v>6.7720000000000002</v>
      </c>
      <c r="L45" s="30">
        <v>679.11373086499577</v>
      </c>
      <c r="M45" s="29"/>
    </row>
    <row r="46" spans="1:13">
      <c r="A46" s="44"/>
      <c r="B46" s="29"/>
      <c r="C46" s="34"/>
      <c r="D46" s="30"/>
      <c r="E46" s="30"/>
      <c r="F46" s="29"/>
      <c r="G46" s="28">
        <f t="shared" si="2"/>
        <v>37.679999999999993</v>
      </c>
      <c r="H46" s="32">
        <f t="shared" si="3"/>
        <v>37.934999999999995</v>
      </c>
      <c r="I46" s="28">
        <v>51</v>
      </c>
      <c r="J46" s="28">
        <v>10.695</v>
      </c>
      <c r="K46" s="32">
        <v>3.1709999999999998</v>
      </c>
      <c r="L46" s="30">
        <v>692.10917533439817</v>
      </c>
      <c r="M46" s="29"/>
    </row>
    <row r="47" spans="1:13">
      <c r="A47" s="44"/>
      <c r="B47" s="29"/>
      <c r="C47" s="34"/>
      <c r="D47" s="30"/>
      <c r="E47" s="30"/>
      <c r="F47" s="29"/>
      <c r="G47" s="28">
        <f t="shared" si="2"/>
        <v>38.189999999999991</v>
      </c>
      <c r="H47" s="32">
        <f t="shared" si="3"/>
        <v>38.389999999999993</v>
      </c>
      <c r="I47" s="28">
        <v>40</v>
      </c>
      <c r="J47" s="28">
        <v>10.695</v>
      </c>
      <c r="K47" s="32">
        <v>2.5329999999999999</v>
      </c>
      <c r="L47" s="30">
        <v>704.89387888066517</v>
      </c>
      <c r="M47" s="29"/>
    </row>
    <row r="48" spans="1:13">
      <c r="A48" s="44"/>
      <c r="B48" s="29"/>
      <c r="C48" s="34"/>
      <c r="D48" s="30"/>
      <c r="E48" s="30"/>
      <c r="F48" s="29"/>
      <c r="G48" s="28">
        <f t="shared" si="2"/>
        <v>38.589999999999989</v>
      </c>
      <c r="H48" s="32">
        <f t="shared" si="3"/>
        <v>39.099999999999987</v>
      </c>
      <c r="I48" s="28">
        <v>102</v>
      </c>
      <c r="J48" s="28">
        <v>10.695</v>
      </c>
      <c r="K48" s="32">
        <v>6.3129999999999997</v>
      </c>
      <c r="L48" s="30">
        <v>688.94437462725637</v>
      </c>
      <c r="M48" s="29"/>
    </row>
    <row r="49" spans="1:13">
      <c r="A49" s="44"/>
      <c r="B49" s="29"/>
      <c r="C49" s="34"/>
      <c r="D49" s="30"/>
      <c r="E49" s="30"/>
      <c r="F49" s="29"/>
      <c r="G49" s="28">
        <f t="shared" si="2"/>
        <v>39.609999999999992</v>
      </c>
      <c r="H49" s="32">
        <f t="shared" si="3"/>
        <v>39.719999999999992</v>
      </c>
      <c r="I49" s="28">
        <v>22</v>
      </c>
      <c r="J49" s="28">
        <v>10.695</v>
      </c>
      <c r="K49" s="32">
        <v>1.3819999999999999</v>
      </c>
      <c r="L49" s="30">
        <v>699.25229918750938</v>
      </c>
      <c r="M49" s="29"/>
    </row>
    <row r="50" spans="1:13">
      <c r="A50" s="44"/>
      <c r="B50" s="29"/>
      <c r="C50" s="34"/>
      <c r="D50" s="30"/>
      <c r="E50" s="30"/>
      <c r="F50" s="29"/>
      <c r="G50" s="28">
        <f t="shared" si="2"/>
        <v>39.829999999999991</v>
      </c>
      <c r="H50" s="32">
        <f t="shared" si="3"/>
        <v>40.269999999999989</v>
      </c>
      <c r="I50" s="28">
        <v>88</v>
      </c>
      <c r="J50" s="28">
        <v>10.705</v>
      </c>
      <c r="K50" s="32">
        <v>5.4290000000000003</v>
      </c>
      <c r="L50" s="30">
        <v>685.44710241339544</v>
      </c>
      <c r="M50" s="29"/>
    </row>
    <row r="51" spans="1:13">
      <c r="A51" s="44"/>
      <c r="B51" s="29"/>
      <c r="C51" s="34"/>
      <c r="D51" s="30"/>
      <c r="E51" s="30"/>
      <c r="F51" s="29"/>
      <c r="G51" s="28">
        <f t="shared" si="2"/>
        <v>40.709999999999994</v>
      </c>
      <c r="H51" s="32">
        <f t="shared" si="3"/>
        <v>41.169999999999995</v>
      </c>
      <c r="I51" s="28">
        <v>92</v>
      </c>
      <c r="J51" s="28">
        <v>10.705</v>
      </c>
      <c r="K51" s="32">
        <v>5.7809999999999997</v>
      </c>
      <c r="L51" s="30">
        <v>698.15510406384715</v>
      </c>
      <c r="M51" s="29"/>
    </row>
    <row r="52" spans="1:13">
      <c r="A52" s="44"/>
      <c r="B52" s="29"/>
      <c r="C52" s="34"/>
      <c r="D52" s="30"/>
      <c r="E52" s="30"/>
      <c r="F52" s="29"/>
      <c r="G52" s="28">
        <f t="shared" si="2"/>
        <v>41.629999999999995</v>
      </c>
      <c r="H52" s="32">
        <f t="shared" si="3"/>
        <v>42.099999999999994</v>
      </c>
      <c r="I52" s="28">
        <v>94</v>
      </c>
      <c r="J52" s="28">
        <v>10.705</v>
      </c>
      <c r="K52" s="32">
        <v>5.8860000000000001</v>
      </c>
      <c r="L52" s="30">
        <v>695.71149567700161</v>
      </c>
      <c r="M52" s="29"/>
    </row>
    <row r="53" spans="1:13">
      <c r="A53" s="44"/>
      <c r="B53" s="29"/>
      <c r="C53" s="34"/>
      <c r="D53" s="30"/>
      <c r="E53" s="30"/>
      <c r="F53" s="29"/>
      <c r="G53" s="28">
        <f t="shared" si="2"/>
        <v>42.569999999999993</v>
      </c>
      <c r="H53" s="32">
        <f t="shared" si="3"/>
        <v>43.11999999999999</v>
      </c>
      <c r="I53" s="28">
        <v>110</v>
      </c>
      <c r="J53" s="28">
        <v>10.705</v>
      </c>
      <c r="K53" s="32">
        <v>6.8869999999999996</v>
      </c>
      <c r="L53" s="30">
        <v>695.6233846853645</v>
      </c>
      <c r="M53" s="29"/>
    </row>
    <row r="54" spans="1:13">
      <c r="A54" s="44"/>
      <c r="B54" s="29"/>
      <c r="C54" s="34"/>
      <c r="D54" s="30"/>
      <c r="E54" s="30"/>
      <c r="F54" s="29"/>
      <c r="G54" s="28">
        <f t="shared" si="2"/>
        <v>43.669999999999995</v>
      </c>
      <c r="H54" s="32">
        <f t="shared" si="3"/>
        <v>44.12</v>
      </c>
      <c r="I54" s="28">
        <v>90</v>
      </c>
      <c r="J54" s="28">
        <v>10.705</v>
      </c>
      <c r="K54" s="32">
        <v>5.6280000000000001</v>
      </c>
      <c r="L54" s="30">
        <v>694.78167399289407</v>
      </c>
      <c r="M54" s="29"/>
    </row>
    <row r="55" spans="1:13">
      <c r="A55" s="44"/>
      <c r="B55" s="29"/>
      <c r="C55" s="34"/>
      <c r="D55" s="30"/>
      <c r="E55" s="30"/>
      <c r="F55" s="29"/>
      <c r="G55" s="28">
        <f t="shared" si="2"/>
        <v>44.569999999999993</v>
      </c>
      <c r="H55" s="32">
        <f t="shared" si="3"/>
        <v>44.754999999999995</v>
      </c>
      <c r="I55" s="28">
        <v>37</v>
      </c>
      <c r="J55" s="28">
        <v>10.705</v>
      </c>
      <c r="K55" s="32">
        <v>2.331</v>
      </c>
      <c r="L55" s="30">
        <v>699.96661185851133</v>
      </c>
      <c r="M55" s="29"/>
    </row>
    <row r="56" spans="1:13">
      <c r="A56" s="44"/>
      <c r="B56" s="29"/>
      <c r="C56" s="34"/>
      <c r="D56" s="30"/>
      <c r="E56" s="30"/>
      <c r="F56" s="29"/>
      <c r="G56" s="28">
        <f t="shared" si="2"/>
        <v>44.939999999999991</v>
      </c>
      <c r="H56" s="32">
        <f t="shared" si="3"/>
        <v>45.309999999999988</v>
      </c>
      <c r="I56" s="28">
        <v>74</v>
      </c>
      <c r="J56" s="28">
        <v>10.705</v>
      </c>
      <c r="K56" s="32">
        <v>4.7480000000000002</v>
      </c>
      <c r="L56" s="30">
        <v>712.87890885976333</v>
      </c>
      <c r="M56" s="29"/>
    </row>
    <row r="57" spans="1:13">
      <c r="A57" s="44"/>
      <c r="B57" s="29"/>
      <c r="C57" s="34"/>
      <c r="D57" s="30"/>
      <c r="E57" s="30"/>
      <c r="F57" s="29"/>
      <c r="G57" s="28">
        <f t="shared" si="2"/>
        <v>45.679999999999993</v>
      </c>
      <c r="H57" s="32">
        <f t="shared" si="3"/>
        <v>45.904999999999994</v>
      </c>
      <c r="I57" s="28">
        <v>45</v>
      </c>
      <c r="J57" s="28">
        <v>10.705</v>
      </c>
      <c r="K57" s="32">
        <v>2.9340000000000002</v>
      </c>
      <c r="L57" s="30">
        <v>724.40989036785675</v>
      </c>
      <c r="M57" s="29"/>
    </row>
    <row r="58" spans="1:13">
      <c r="A58" s="44"/>
      <c r="B58" s="29"/>
      <c r="C58" s="34"/>
      <c r="D58" s="30"/>
      <c r="E58" s="30"/>
      <c r="F58" s="29"/>
      <c r="G58" s="28">
        <f t="shared" si="2"/>
        <v>46.129999999999995</v>
      </c>
      <c r="H58" s="32">
        <f t="shared" si="3"/>
        <v>46.66</v>
      </c>
      <c r="I58" s="28">
        <v>106</v>
      </c>
      <c r="J58" s="28">
        <v>10.705</v>
      </c>
      <c r="K58" s="32">
        <v>6.8650000000000002</v>
      </c>
      <c r="L58" s="30">
        <v>719.56735405940185</v>
      </c>
      <c r="M58" s="29"/>
    </row>
    <row r="59" spans="1:13">
      <c r="A59" s="44"/>
      <c r="B59" s="29"/>
      <c r="C59" s="34"/>
      <c r="D59" s="30"/>
      <c r="E59" s="30"/>
      <c r="F59" s="29"/>
      <c r="G59" s="28">
        <f t="shared" si="2"/>
        <v>47.19</v>
      </c>
      <c r="H59" s="32">
        <f t="shared" si="3"/>
        <v>47.695</v>
      </c>
      <c r="I59" s="28">
        <v>101</v>
      </c>
      <c r="J59" s="28">
        <v>10.705</v>
      </c>
      <c r="K59" s="32">
        <v>6.4569999999999999</v>
      </c>
      <c r="L59" s="30">
        <v>710.30715272205157</v>
      </c>
      <c r="M59" s="29"/>
    </row>
    <row r="60" spans="1:13">
      <c r="A60" s="44"/>
      <c r="B60" s="29"/>
      <c r="C60" s="34"/>
      <c r="D60" s="30"/>
      <c r="E60" s="30"/>
      <c r="F60" s="29"/>
      <c r="G60" s="28">
        <f t="shared" si="2"/>
        <v>48.199999999999996</v>
      </c>
      <c r="H60" s="32">
        <f t="shared" si="3"/>
        <v>48.704999999999998</v>
      </c>
      <c r="I60" s="28">
        <v>101</v>
      </c>
      <c r="J60" s="28">
        <v>10.705</v>
      </c>
      <c r="K60" s="32">
        <v>6.593</v>
      </c>
      <c r="L60" s="30">
        <v>725.26793524802326</v>
      </c>
      <c r="M60" s="29"/>
    </row>
    <row r="61" spans="1:13">
      <c r="A61" s="44"/>
      <c r="B61" s="29"/>
      <c r="C61" s="34"/>
      <c r="D61" s="30"/>
      <c r="E61" s="30"/>
      <c r="F61" s="29"/>
      <c r="G61" s="28">
        <f t="shared" si="2"/>
        <v>49.209999999999994</v>
      </c>
      <c r="H61" s="32">
        <f t="shared" si="3"/>
        <v>49.74499999999999</v>
      </c>
      <c r="I61" s="28">
        <v>107</v>
      </c>
      <c r="J61" s="28">
        <v>10.705</v>
      </c>
      <c r="K61" s="32">
        <v>6.9729999999999999</v>
      </c>
      <c r="L61" s="30">
        <v>724.0568438643237</v>
      </c>
      <c r="M61" s="29"/>
    </row>
    <row r="62" spans="1:13">
      <c r="A62" s="44"/>
      <c r="B62" s="29"/>
      <c r="C62" s="34"/>
      <c r="D62" s="30"/>
      <c r="E62" s="30"/>
      <c r="F62" s="29"/>
      <c r="G62" s="28">
        <f t="shared" si="2"/>
        <v>50.279999999999994</v>
      </c>
      <c r="H62" s="32">
        <f t="shared" si="3"/>
        <v>50.804999999999993</v>
      </c>
      <c r="I62" s="28">
        <v>105</v>
      </c>
      <c r="J62" s="28">
        <v>10.705</v>
      </c>
      <c r="K62" s="32">
        <v>6.7439999999999998</v>
      </c>
      <c r="L62" s="30">
        <v>713.61675440269164</v>
      </c>
      <c r="M62" s="29"/>
    </row>
    <row r="63" spans="1:13">
      <c r="A63" s="44"/>
      <c r="B63" s="29"/>
      <c r="C63" s="34"/>
      <c r="D63" s="30"/>
      <c r="E63" s="30"/>
      <c r="F63" s="29"/>
      <c r="G63" s="28">
        <f t="shared" si="2"/>
        <v>51.329999999999991</v>
      </c>
      <c r="H63" s="32">
        <f t="shared" si="3"/>
        <v>51.357499999999995</v>
      </c>
      <c r="I63" s="28">
        <v>5.5</v>
      </c>
      <c r="J63" s="26" t="s">
        <v>299</v>
      </c>
      <c r="K63" s="32"/>
      <c r="M63" s="29"/>
    </row>
    <row r="64" spans="1:13">
      <c r="A64" s="44"/>
      <c r="B64" s="29"/>
      <c r="C64" s="34"/>
      <c r="D64" s="30"/>
      <c r="E64" s="30"/>
      <c r="F64" s="29"/>
      <c r="G64" s="28">
        <f t="shared" si="2"/>
        <v>51.384999999999991</v>
      </c>
      <c r="H64" s="32">
        <f t="shared" si="3"/>
        <v>51.902499999999989</v>
      </c>
      <c r="I64" s="28">
        <v>103.5</v>
      </c>
      <c r="J64" s="28">
        <v>10.705</v>
      </c>
      <c r="K64" s="32">
        <v>6.726</v>
      </c>
      <c r="L64" s="30">
        <v>722.02675122465359</v>
      </c>
      <c r="M64" s="29"/>
    </row>
    <row r="65" spans="1:13">
      <c r="A65" s="44"/>
      <c r="B65" s="29"/>
      <c r="C65" s="34"/>
      <c r="D65" s="30"/>
      <c r="E65" s="30"/>
      <c r="F65" s="29"/>
      <c r="G65" s="28">
        <f t="shared" si="2"/>
        <v>52.419999999999987</v>
      </c>
      <c r="H65" s="32">
        <f t="shared" si="3"/>
        <v>52.499999999999986</v>
      </c>
      <c r="I65" s="28">
        <v>16</v>
      </c>
      <c r="J65" s="26" t="s">
        <v>299</v>
      </c>
      <c r="K65" s="32"/>
      <c r="M65" s="29"/>
    </row>
    <row r="66" spans="1:13">
      <c r="A66" s="44"/>
      <c r="B66" s="29"/>
      <c r="C66" s="34"/>
      <c r="D66" s="30"/>
      <c r="E66" s="30"/>
      <c r="F66" s="29"/>
      <c r="G66" s="28">
        <f t="shared" si="2"/>
        <v>52.579999999999984</v>
      </c>
      <c r="H66" s="32">
        <f t="shared" si="3"/>
        <v>52.994999999999983</v>
      </c>
      <c r="I66" s="28">
        <v>83</v>
      </c>
      <c r="J66" s="28">
        <v>10.705</v>
      </c>
      <c r="K66" s="32">
        <v>5.569</v>
      </c>
      <c r="L66" s="30">
        <v>745.47983580800474</v>
      </c>
      <c r="M66" s="29"/>
    </row>
    <row r="67" spans="1:13">
      <c r="A67" s="44"/>
      <c r="B67" s="29"/>
      <c r="C67" s="34"/>
      <c r="D67" s="30"/>
      <c r="E67" s="30"/>
      <c r="F67" s="29"/>
      <c r="G67" s="28">
        <f t="shared" si="2"/>
        <v>53.409999999999982</v>
      </c>
      <c r="H67" s="32">
        <f t="shared" si="3"/>
        <v>53.914999999999985</v>
      </c>
      <c r="I67" s="28">
        <v>101</v>
      </c>
      <c r="J67" s="28">
        <v>10.705</v>
      </c>
      <c r="K67" s="32">
        <v>6.7809999999999997</v>
      </c>
      <c r="L67" s="30">
        <v>745.9490169751017</v>
      </c>
      <c r="M67" s="29"/>
    </row>
    <row r="68" spans="1:13">
      <c r="A68" s="44"/>
      <c r="B68" s="29"/>
      <c r="C68" s="34"/>
      <c r="D68" s="30"/>
      <c r="E68" s="30"/>
      <c r="F68" s="29"/>
      <c r="G68" s="28">
        <f t="shared" si="2"/>
        <v>54.41999999999998</v>
      </c>
      <c r="H68" s="32">
        <f t="shared" si="3"/>
        <v>54.90499999999998</v>
      </c>
      <c r="I68" s="28">
        <v>97</v>
      </c>
      <c r="J68" s="28">
        <v>10.705</v>
      </c>
      <c r="K68" s="32">
        <v>6.4189999999999996</v>
      </c>
      <c r="L68" s="30">
        <v>735.24557053179387</v>
      </c>
      <c r="M68" s="29"/>
    </row>
    <row r="69" spans="1:13">
      <c r="A69" s="44"/>
      <c r="B69" s="29"/>
      <c r="C69" s="34"/>
      <c r="D69" s="30"/>
      <c r="E69" s="30"/>
      <c r="F69" s="29"/>
      <c r="G69" s="28">
        <f t="shared" si="2"/>
        <v>55.389999999999979</v>
      </c>
      <c r="H69" s="32">
        <f t="shared" si="3"/>
        <v>55.854999999999983</v>
      </c>
      <c r="I69" s="28">
        <v>93</v>
      </c>
      <c r="J69" s="28">
        <v>10.705</v>
      </c>
      <c r="K69" s="32">
        <v>6.2560000000000002</v>
      </c>
      <c r="L69" s="30">
        <v>747.39565178133671</v>
      </c>
      <c r="M69" s="29"/>
    </row>
    <row r="70" spans="1:13">
      <c r="A70" s="44"/>
      <c r="B70" s="29"/>
      <c r="C70" s="34"/>
      <c r="D70" s="30"/>
      <c r="E70" s="30"/>
      <c r="F70" s="29"/>
      <c r="G70" s="28">
        <f t="shared" si="2"/>
        <v>56.319999999999979</v>
      </c>
      <c r="H70" s="32">
        <f t="shared" si="3"/>
        <v>56.77999999999998</v>
      </c>
      <c r="I70" s="28">
        <v>92</v>
      </c>
      <c r="J70" s="28">
        <v>10.705</v>
      </c>
      <c r="K70" s="32">
        <v>6.36</v>
      </c>
      <c r="L70" s="30">
        <v>768.07930493791184</v>
      </c>
      <c r="M70" s="29"/>
    </row>
    <row r="71" spans="1:13">
      <c r="A71" s="44"/>
      <c r="B71" s="29"/>
      <c r="C71" s="34"/>
      <c r="D71" s="30"/>
      <c r="E71" s="30"/>
      <c r="F71" s="29"/>
      <c r="G71" s="28">
        <f t="shared" si="2"/>
        <v>57.239999999999981</v>
      </c>
      <c r="H71" s="32">
        <f t="shared" si="3"/>
        <v>57.729999999999983</v>
      </c>
      <c r="I71" s="28">
        <v>98</v>
      </c>
      <c r="J71" s="28">
        <v>10.705</v>
      </c>
      <c r="K71" s="32">
        <v>6.6959999999999997</v>
      </c>
      <c r="L71" s="30">
        <v>759.14746242380966</v>
      </c>
      <c r="M71" s="29"/>
    </row>
    <row r="72" spans="1:13">
      <c r="A72" s="44"/>
      <c r="B72" s="29"/>
      <c r="C72" s="34"/>
      <c r="D72" s="30"/>
      <c r="E72" s="30"/>
      <c r="F72" s="29"/>
      <c r="G72" s="28">
        <f t="shared" si="2"/>
        <v>58.219999999999978</v>
      </c>
      <c r="H72" s="32">
        <f t="shared" si="3"/>
        <v>58.714999999999975</v>
      </c>
      <c r="I72" s="28">
        <v>99</v>
      </c>
      <c r="J72" s="28">
        <v>10.705</v>
      </c>
      <c r="K72" s="32">
        <v>6.7919999999999998</v>
      </c>
      <c r="L72" s="30">
        <v>762.25320310133304</v>
      </c>
      <c r="M72" s="29"/>
    </row>
    <row r="73" spans="1:13">
      <c r="A73" s="44"/>
      <c r="B73" s="29"/>
      <c r="C73" s="34"/>
      <c r="D73" s="30"/>
      <c r="E73" s="30"/>
      <c r="F73" s="29"/>
      <c r="G73" s="28">
        <f t="shared" ref="G73:G104" si="4">+G72+(I72/100)</f>
        <v>59.20999999999998</v>
      </c>
      <c r="H73" s="32">
        <f t="shared" ref="H73:H104" si="5">+G73+(I73/200)</f>
        <v>59.704999999999977</v>
      </c>
      <c r="I73" s="28">
        <v>99</v>
      </c>
      <c r="J73" s="28">
        <v>10.705</v>
      </c>
      <c r="K73" s="32">
        <v>6.9189999999999996</v>
      </c>
      <c r="L73" s="30">
        <v>776.50617082716769</v>
      </c>
      <c r="M73" s="29"/>
    </row>
    <row r="74" spans="1:13">
      <c r="A74" s="44"/>
      <c r="B74" s="29"/>
      <c r="C74" s="34"/>
      <c r="D74" s="30"/>
      <c r="E74" s="30"/>
      <c r="F74" s="29"/>
      <c r="G74" s="28">
        <f t="shared" si="4"/>
        <v>60.199999999999982</v>
      </c>
      <c r="H74" s="32">
        <f t="shared" si="5"/>
        <v>60.729999999999983</v>
      </c>
      <c r="I74" s="28">
        <v>106</v>
      </c>
      <c r="J74" s="28">
        <v>10.705</v>
      </c>
      <c r="K74" s="32">
        <v>7.3129999999999997</v>
      </c>
      <c r="L74" s="30">
        <v>766.52528189896657</v>
      </c>
      <c r="M74" s="29"/>
    </row>
    <row r="75" spans="1:13">
      <c r="A75" s="44"/>
      <c r="B75" s="29"/>
      <c r="C75" s="34"/>
      <c r="D75" s="30"/>
      <c r="E75" s="30"/>
      <c r="F75" s="29"/>
      <c r="G75" s="28">
        <f t="shared" si="4"/>
        <v>61.259999999999984</v>
      </c>
      <c r="H75" s="32">
        <f t="shared" si="5"/>
        <v>61.759999999999984</v>
      </c>
      <c r="I75" s="28">
        <v>100</v>
      </c>
      <c r="J75" s="28">
        <v>10.705</v>
      </c>
      <c r="K75" s="32">
        <v>6.9790000000000001</v>
      </c>
      <c r="L75" s="30">
        <v>775.40745780326301</v>
      </c>
      <c r="M75" s="29"/>
    </row>
    <row r="76" spans="1:13">
      <c r="A76" s="44"/>
      <c r="B76" s="29"/>
      <c r="C76" s="34"/>
      <c r="D76" s="30"/>
      <c r="E76" s="30"/>
      <c r="F76" s="29"/>
      <c r="G76" s="28">
        <f t="shared" si="4"/>
        <v>62.259999999999984</v>
      </c>
      <c r="H76" s="32">
        <f t="shared" si="5"/>
        <v>62.734999999999985</v>
      </c>
      <c r="I76" s="28">
        <v>95</v>
      </c>
      <c r="J76" s="28">
        <v>10.705</v>
      </c>
      <c r="K76" s="32">
        <v>6.6680000000000001</v>
      </c>
      <c r="L76" s="30">
        <v>779.84584258522318</v>
      </c>
      <c r="M76" s="29"/>
    </row>
    <row r="77" spans="1:13">
      <c r="A77" s="44"/>
      <c r="B77" s="29"/>
      <c r="C77" s="34"/>
      <c r="D77" s="30"/>
      <c r="E77" s="30"/>
      <c r="F77" s="29"/>
      <c r="G77" s="28">
        <f t="shared" si="4"/>
        <v>63.209999999999987</v>
      </c>
      <c r="H77" s="32">
        <f t="shared" si="5"/>
        <v>63.724999999999987</v>
      </c>
      <c r="I77" s="28">
        <v>103</v>
      </c>
      <c r="J77" s="28">
        <v>10.705</v>
      </c>
      <c r="K77" s="32">
        <v>7.1959999999999997</v>
      </c>
      <c r="L77" s="30">
        <v>776.2305037654271</v>
      </c>
      <c r="M77" s="29"/>
    </row>
    <row r="78" spans="1:13">
      <c r="A78" s="44"/>
      <c r="B78" s="29"/>
      <c r="C78" s="34"/>
      <c r="D78" s="30"/>
      <c r="E78" s="30"/>
      <c r="F78" s="29"/>
      <c r="G78" s="28">
        <f t="shared" si="4"/>
        <v>64.239999999999981</v>
      </c>
      <c r="H78" s="32">
        <f t="shared" si="5"/>
        <v>64.734999999999985</v>
      </c>
      <c r="I78" s="28">
        <v>99</v>
      </c>
      <c r="J78" s="28">
        <v>10.705</v>
      </c>
      <c r="K78" s="32">
        <v>7.048</v>
      </c>
      <c r="L78" s="30">
        <v>790.98359473766129</v>
      </c>
      <c r="M78" s="29"/>
    </row>
    <row r="79" spans="1:13">
      <c r="A79" s="44"/>
      <c r="B79" s="29"/>
      <c r="C79" s="34"/>
      <c r="D79" s="30"/>
      <c r="E79" s="30"/>
      <c r="F79" s="29"/>
      <c r="G79" s="28">
        <f t="shared" si="4"/>
        <v>65.229999999999976</v>
      </c>
      <c r="H79" s="32">
        <f t="shared" si="5"/>
        <v>65.739999999999981</v>
      </c>
      <c r="I79" s="28">
        <v>102</v>
      </c>
      <c r="J79" s="28">
        <v>10.705</v>
      </c>
      <c r="K79" s="32">
        <v>7.1559999999999997</v>
      </c>
      <c r="L79" s="30">
        <v>779.48351610014231</v>
      </c>
      <c r="M79" s="29"/>
    </row>
    <row r="80" spans="1:13">
      <c r="A80" s="44"/>
      <c r="B80" s="29"/>
      <c r="C80" s="34"/>
      <c r="D80" s="30"/>
      <c r="E80" s="30"/>
      <c r="F80" s="29"/>
      <c r="G80" s="28">
        <f t="shared" si="4"/>
        <v>66.249999999999972</v>
      </c>
      <c r="H80" s="32">
        <f t="shared" si="5"/>
        <v>66.739999999999966</v>
      </c>
      <c r="I80" s="28">
        <v>98</v>
      </c>
      <c r="J80" s="28">
        <v>10.705</v>
      </c>
      <c r="K80" s="32">
        <v>6.9409999999999998</v>
      </c>
      <c r="L80" s="30">
        <v>786.923915275338</v>
      </c>
      <c r="M80" s="29"/>
    </row>
    <row r="81" spans="1:13">
      <c r="A81" s="44"/>
      <c r="B81" s="29"/>
      <c r="C81" s="34"/>
      <c r="D81" s="30"/>
      <c r="E81" s="30"/>
      <c r="F81" s="29"/>
      <c r="G81" s="28">
        <f t="shared" si="4"/>
        <v>67.229999999999976</v>
      </c>
      <c r="H81" s="32">
        <f t="shared" si="5"/>
        <v>67.739999999999981</v>
      </c>
      <c r="I81" s="28">
        <v>102</v>
      </c>
      <c r="J81" s="28">
        <v>10.705</v>
      </c>
      <c r="K81" s="32">
        <v>7.4589999999999996</v>
      </c>
      <c r="L81" s="30">
        <v>812.48847772372289</v>
      </c>
      <c r="M81" s="29"/>
    </row>
    <row r="82" spans="1:13">
      <c r="A82" s="44"/>
      <c r="B82" s="29"/>
      <c r="C82" s="34"/>
      <c r="D82" s="30"/>
      <c r="E82" s="30"/>
      <c r="F82" s="29"/>
      <c r="G82" s="28">
        <f t="shared" si="4"/>
        <v>68.249999999999972</v>
      </c>
      <c r="H82" s="32">
        <f t="shared" si="5"/>
        <v>68.754999999999967</v>
      </c>
      <c r="I82" s="28">
        <v>101</v>
      </c>
      <c r="J82" s="28">
        <v>10.705</v>
      </c>
      <c r="K82" s="32">
        <v>7.2030000000000003</v>
      </c>
      <c r="L82" s="30">
        <v>792.37144510716087</v>
      </c>
      <c r="M82" s="29"/>
    </row>
    <row r="83" spans="1:13">
      <c r="A83" s="44"/>
      <c r="B83" s="29"/>
      <c r="C83" s="34"/>
      <c r="D83" s="30"/>
      <c r="E83" s="30"/>
      <c r="F83" s="29"/>
      <c r="G83" s="28">
        <f t="shared" si="4"/>
        <v>69.259999999999977</v>
      </c>
      <c r="H83" s="32">
        <f t="shared" si="5"/>
        <v>69.779999999999973</v>
      </c>
      <c r="I83" s="28">
        <v>104</v>
      </c>
      <c r="J83" s="28">
        <v>10.705</v>
      </c>
      <c r="K83" s="32">
        <v>7.7350000000000003</v>
      </c>
      <c r="L83" s="30">
        <v>826.34947233296634</v>
      </c>
      <c r="M83" s="29"/>
    </row>
    <row r="84" spans="1:13">
      <c r="A84" s="44"/>
      <c r="B84" s="29"/>
      <c r="C84" s="34"/>
      <c r="D84" s="30"/>
      <c r="E84" s="30"/>
      <c r="F84" s="29"/>
      <c r="G84" s="28">
        <f t="shared" si="4"/>
        <v>70.299999999999983</v>
      </c>
      <c r="H84" s="32">
        <f t="shared" si="5"/>
        <v>70.809999999999988</v>
      </c>
      <c r="I84" s="28">
        <v>102</v>
      </c>
      <c r="J84" s="28">
        <v>10.705</v>
      </c>
      <c r="K84" s="32">
        <v>7.5720000000000001</v>
      </c>
      <c r="L84" s="30">
        <v>824.79725879126295</v>
      </c>
      <c r="M84" s="29"/>
    </row>
    <row r="85" spans="1:13">
      <c r="A85" s="44"/>
      <c r="B85" s="29"/>
      <c r="C85" s="34"/>
      <c r="D85" s="30"/>
      <c r="E85" s="30"/>
      <c r="F85" s="29"/>
      <c r="G85" s="28">
        <f t="shared" si="4"/>
        <v>71.319999999999979</v>
      </c>
      <c r="H85" s="32">
        <f t="shared" si="5"/>
        <v>71.864999999999981</v>
      </c>
      <c r="I85" s="28">
        <v>109</v>
      </c>
      <c r="J85" s="28">
        <v>10.705</v>
      </c>
      <c r="K85" s="32">
        <v>7.9130000000000003</v>
      </c>
      <c r="L85" s="30">
        <v>806.58741803355315</v>
      </c>
      <c r="M85" s="29"/>
    </row>
    <row r="86" spans="1:13">
      <c r="A86" s="44"/>
      <c r="B86" s="29"/>
      <c r="C86" s="34"/>
      <c r="D86" s="30"/>
      <c r="E86" s="30"/>
      <c r="F86" s="29"/>
      <c r="G86" s="28">
        <f t="shared" si="4"/>
        <v>72.409999999999982</v>
      </c>
      <c r="H86" s="32">
        <f t="shared" si="5"/>
        <v>72.957499999999982</v>
      </c>
      <c r="I86" s="28">
        <v>109.5</v>
      </c>
      <c r="J86" s="28">
        <v>10.705</v>
      </c>
      <c r="K86" s="32">
        <v>8.0779999999999994</v>
      </c>
      <c r="L86" s="30">
        <v>819.64634204436629</v>
      </c>
      <c r="M86" s="29"/>
    </row>
    <row r="87" spans="1:13">
      <c r="A87" s="44"/>
      <c r="B87" s="29"/>
      <c r="C87" s="34"/>
      <c r="D87" s="30"/>
      <c r="E87" s="30"/>
      <c r="F87" s="29"/>
      <c r="G87" s="28">
        <f t="shared" si="4"/>
        <v>73.504999999999981</v>
      </c>
      <c r="H87" s="32">
        <f t="shared" si="5"/>
        <v>74.014999999999986</v>
      </c>
      <c r="I87" s="28">
        <v>102</v>
      </c>
      <c r="J87" s="28">
        <v>10.705</v>
      </c>
      <c r="K87" s="32">
        <v>7.3920000000000003</v>
      </c>
      <c r="L87" s="30">
        <v>805.19035089606655</v>
      </c>
      <c r="M87" s="29"/>
    </row>
    <row r="88" spans="1:13">
      <c r="A88" s="44"/>
      <c r="B88" s="29"/>
      <c r="C88" s="34"/>
      <c r="D88" s="30"/>
      <c r="E88" s="30"/>
      <c r="F88" s="29"/>
      <c r="G88" s="28">
        <f t="shared" si="4"/>
        <v>74.524999999999977</v>
      </c>
      <c r="H88" s="32">
        <f t="shared" si="5"/>
        <v>75.03749999999998</v>
      </c>
      <c r="I88" s="28">
        <v>102.5</v>
      </c>
      <c r="J88" s="28">
        <v>10.705</v>
      </c>
      <c r="K88" s="32">
        <v>7.6070000000000002</v>
      </c>
      <c r="L88" s="30">
        <v>824.56771450370911</v>
      </c>
      <c r="M88" s="29"/>
    </row>
    <row r="89" spans="1:13">
      <c r="A89" s="44"/>
      <c r="B89" s="29"/>
      <c r="C89" s="34"/>
      <c r="D89" s="30"/>
      <c r="E89" s="30"/>
      <c r="F89" s="29"/>
      <c r="G89" s="28">
        <f t="shared" si="4"/>
        <v>75.549999999999983</v>
      </c>
      <c r="H89" s="32">
        <f t="shared" si="5"/>
        <v>75.97999999999999</v>
      </c>
      <c r="I89" s="28">
        <v>86</v>
      </c>
      <c r="J89" s="28">
        <v>10.705</v>
      </c>
      <c r="K89" s="32">
        <v>6.3810000000000002</v>
      </c>
      <c r="L89" s="30">
        <v>824.37928207256664</v>
      </c>
      <c r="M89" s="29"/>
    </row>
    <row r="90" spans="1:13">
      <c r="A90" s="44"/>
      <c r="B90" s="29"/>
      <c r="C90" s="34"/>
      <c r="D90" s="30"/>
      <c r="E90" s="30"/>
      <c r="F90" s="29"/>
      <c r="G90" s="28">
        <f t="shared" si="4"/>
        <v>76.409999999999982</v>
      </c>
      <c r="H90" s="32">
        <f t="shared" si="5"/>
        <v>76.84999999999998</v>
      </c>
      <c r="I90" s="28">
        <v>88</v>
      </c>
      <c r="J90" s="28"/>
      <c r="K90" s="32"/>
      <c r="M90" s="29"/>
    </row>
    <row r="91" spans="1:13">
      <c r="A91" s="44"/>
      <c r="B91" s="29"/>
      <c r="C91" s="34"/>
      <c r="D91" s="30"/>
      <c r="E91" s="30"/>
      <c r="F91" s="29"/>
      <c r="G91" s="28">
        <f t="shared" si="4"/>
        <v>77.289999999999978</v>
      </c>
      <c r="H91" s="32">
        <f t="shared" si="5"/>
        <v>77.769999999999982</v>
      </c>
      <c r="I91" s="28">
        <v>96</v>
      </c>
      <c r="J91" s="28">
        <v>10.705</v>
      </c>
      <c r="K91" s="32">
        <v>7.38</v>
      </c>
      <c r="L91" s="30">
        <v>854.12592518449458</v>
      </c>
      <c r="M91" s="29"/>
    </row>
    <row r="92" spans="1:13">
      <c r="A92" s="44"/>
      <c r="B92" s="29"/>
      <c r="C92" s="34"/>
      <c r="D92" s="30"/>
      <c r="E92" s="30"/>
      <c r="F92" s="29"/>
      <c r="G92" s="28">
        <f t="shared" si="4"/>
        <v>78.249999999999972</v>
      </c>
      <c r="H92" s="32">
        <f t="shared" si="5"/>
        <v>78.759999999999977</v>
      </c>
      <c r="I92" s="28">
        <v>102</v>
      </c>
      <c r="J92" s="28">
        <v>10.705</v>
      </c>
      <c r="K92" s="32">
        <v>7.6539999999999999</v>
      </c>
      <c r="L92" s="30">
        <v>833.72929461018578</v>
      </c>
      <c r="M92" s="29"/>
    </row>
    <row r="93" spans="1:13">
      <c r="A93" s="44"/>
      <c r="B93" s="29"/>
      <c r="C93" s="34"/>
      <c r="D93" s="30"/>
      <c r="E93" s="30"/>
      <c r="F93" s="29"/>
      <c r="G93" s="28">
        <f t="shared" si="4"/>
        <v>79.269999999999968</v>
      </c>
      <c r="H93" s="32">
        <f t="shared" si="5"/>
        <v>79.809999999999974</v>
      </c>
      <c r="I93" s="28">
        <v>108</v>
      </c>
      <c r="J93" s="28">
        <v>10.705</v>
      </c>
      <c r="K93" s="32">
        <v>7.883</v>
      </c>
      <c r="L93" s="30">
        <v>810.96954751332339</v>
      </c>
      <c r="M93" s="29"/>
    </row>
    <row r="94" spans="1:13">
      <c r="A94" s="44"/>
      <c r="B94" s="29"/>
      <c r="C94" s="34"/>
      <c r="D94" s="30"/>
      <c r="E94" s="30"/>
      <c r="F94" s="29"/>
      <c r="G94" s="28">
        <f t="shared" si="4"/>
        <v>80.349999999999966</v>
      </c>
      <c r="H94" s="32">
        <f t="shared" si="5"/>
        <v>80.884999999999962</v>
      </c>
      <c r="I94" s="28">
        <v>107</v>
      </c>
      <c r="J94" s="28">
        <v>10.705</v>
      </c>
      <c r="K94" s="32">
        <v>8.2530000000000001</v>
      </c>
      <c r="L94" s="30">
        <v>856.96846872397293</v>
      </c>
      <c r="M94" s="29"/>
    </row>
    <row r="95" spans="1:13">
      <c r="A95" s="44"/>
      <c r="B95" s="29"/>
      <c r="C95" s="34"/>
      <c r="D95" s="30"/>
      <c r="E95" s="30"/>
      <c r="F95" s="29"/>
      <c r="G95" s="28">
        <f t="shared" si="4"/>
        <v>81.419999999999959</v>
      </c>
      <c r="H95" s="32">
        <f t="shared" si="5"/>
        <v>81.889999999999958</v>
      </c>
      <c r="I95" s="28">
        <v>94</v>
      </c>
      <c r="J95" s="28">
        <v>10.705</v>
      </c>
      <c r="K95" s="32">
        <v>7.0019999999999998</v>
      </c>
      <c r="L95" s="30">
        <v>827.62009730383375</v>
      </c>
      <c r="M95" s="29"/>
    </row>
    <row r="96" spans="1:13">
      <c r="A96" s="44"/>
      <c r="B96" s="29"/>
      <c r="C96" s="34"/>
      <c r="D96" s="30"/>
      <c r="E96" s="30"/>
      <c r="F96" s="29"/>
      <c r="G96" s="28">
        <f t="shared" si="4"/>
        <v>82.359999999999957</v>
      </c>
      <c r="H96" s="32">
        <f t="shared" si="5"/>
        <v>82.82499999999996</v>
      </c>
      <c r="I96" s="28">
        <v>93</v>
      </c>
      <c r="J96" s="28">
        <v>10.705</v>
      </c>
      <c r="K96" s="32">
        <v>6.8019999999999996</v>
      </c>
      <c r="L96" s="30">
        <v>812.62551525202241</v>
      </c>
      <c r="M96" s="29"/>
    </row>
    <row r="97" spans="1:13">
      <c r="A97" s="44"/>
      <c r="B97" s="29"/>
      <c r="C97" s="34"/>
      <c r="D97" s="30"/>
      <c r="E97" s="30"/>
      <c r="F97" s="29"/>
      <c r="G97" s="28">
        <f t="shared" si="4"/>
        <v>83.289999999999964</v>
      </c>
      <c r="H97" s="32">
        <f t="shared" si="5"/>
        <v>83.80999999999996</v>
      </c>
      <c r="I97" s="28">
        <v>104</v>
      </c>
      <c r="J97" s="28">
        <v>10.705</v>
      </c>
      <c r="K97" s="32">
        <v>7.7770000000000001</v>
      </c>
      <c r="L97" s="30">
        <v>830.83643779359784</v>
      </c>
      <c r="M97" s="29"/>
    </row>
    <row r="98" spans="1:13">
      <c r="A98" s="44"/>
      <c r="B98" s="29"/>
      <c r="C98" s="34"/>
      <c r="D98" s="30"/>
      <c r="E98" s="30"/>
      <c r="F98" s="29"/>
      <c r="G98" s="28">
        <f t="shared" si="4"/>
        <v>84.32999999999997</v>
      </c>
      <c r="H98" s="32">
        <f t="shared" si="5"/>
        <v>84.824999999999974</v>
      </c>
      <c r="I98" s="28">
        <v>99</v>
      </c>
      <c r="J98" s="28">
        <v>10.705</v>
      </c>
      <c r="K98" s="32">
        <v>7.7290000000000001</v>
      </c>
      <c r="L98" s="30">
        <v>867.4109256139875</v>
      </c>
      <c r="M98" s="29"/>
    </row>
    <row r="99" spans="1:13">
      <c r="A99" s="44"/>
      <c r="B99" s="29"/>
      <c r="C99" s="34"/>
      <c r="D99" s="30"/>
      <c r="E99" s="30"/>
      <c r="F99" s="29"/>
      <c r="G99" s="28">
        <f t="shared" si="4"/>
        <v>85.319999999999965</v>
      </c>
      <c r="H99" s="32">
        <f t="shared" si="5"/>
        <v>85.799999999999969</v>
      </c>
      <c r="I99" s="28">
        <v>96</v>
      </c>
      <c r="J99" s="28">
        <v>10.705</v>
      </c>
      <c r="K99" s="32">
        <v>7.2610000000000001</v>
      </c>
      <c r="L99" s="30">
        <v>840.35343397894508</v>
      </c>
      <c r="M99" s="29"/>
    </row>
    <row r="100" spans="1:13">
      <c r="A100" s="44"/>
      <c r="B100" s="29"/>
      <c r="C100" s="34"/>
      <c r="D100" s="30"/>
      <c r="E100" s="30"/>
      <c r="F100" s="29"/>
      <c r="G100" s="28">
        <f t="shared" si="4"/>
        <v>86.279999999999959</v>
      </c>
      <c r="H100" s="32">
        <f t="shared" si="5"/>
        <v>86.769999999999953</v>
      </c>
      <c r="I100" s="28">
        <v>98</v>
      </c>
      <c r="J100" s="28">
        <v>10.705</v>
      </c>
      <c r="K100" s="32">
        <v>7.42</v>
      </c>
      <c r="L100" s="30">
        <v>841.22971493199941</v>
      </c>
      <c r="M100" s="29"/>
    </row>
    <row r="101" spans="1:13">
      <c r="A101" s="44"/>
      <c r="B101" s="29"/>
      <c r="C101" s="34"/>
      <c r="D101" s="30"/>
      <c r="E101" s="30"/>
      <c r="F101" s="29"/>
      <c r="G101" s="28">
        <f t="shared" si="4"/>
        <v>87.259999999999962</v>
      </c>
      <c r="H101" s="32">
        <f t="shared" si="5"/>
        <v>87.759999999999962</v>
      </c>
      <c r="I101" s="28">
        <v>100</v>
      </c>
      <c r="J101" s="28">
        <v>10.705</v>
      </c>
      <c r="K101" s="32">
        <v>7.6749999999999998</v>
      </c>
      <c r="L101" s="30">
        <v>852.73710254191769</v>
      </c>
      <c r="M101" s="29"/>
    </row>
    <row r="102" spans="1:13">
      <c r="A102" s="44"/>
      <c r="B102" s="29"/>
      <c r="C102" s="34"/>
      <c r="D102" s="30"/>
      <c r="E102" s="30"/>
      <c r="F102" s="29"/>
      <c r="G102" s="28">
        <f t="shared" si="4"/>
        <v>88.259999999999962</v>
      </c>
      <c r="H102" s="32">
        <f t="shared" si="5"/>
        <v>88.784999999999968</v>
      </c>
      <c r="I102" s="28">
        <v>105</v>
      </c>
      <c r="J102" s="28">
        <v>10.705</v>
      </c>
      <c r="K102" s="32">
        <v>7.94</v>
      </c>
      <c r="L102" s="30">
        <v>840.17156434717856</v>
      </c>
      <c r="M102" s="29"/>
    </row>
    <row r="103" spans="1:13">
      <c r="A103" s="44"/>
      <c r="B103" s="29"/>
      <c r="C103" s="34"/>
      <c r="D103" s="30"/>
      <c r="E103" s="30"/>
      <c r="F103" s="29"/>
      <c r="G103" s="28">
        <f t="shared" si="4"/>
        <v>89.30999999999996</v>
      </c>
      <c r="H103" s="32">
        <f t="shared" si="5"/>
        <v>89.844999999999956</v>
      </c>
      <c r="I103" s="28">
        <v>107</v>
      </c>
      <c r="J103" s="28">
        <v>10.705</v>
      </c>
      <c r="K103" s="32">
        <v>8.2080000000000002</v>
      </c>
      <c r="L103" s="30">
        <v>852.29579441250098</v>
      </c>
      <c r="M103" s="29"/>
    </row>
    <row r="104" spans="1:13">
      <c r="A104" s="44"/>
      <c r="B104" s="29"/>
      <c r="C104" s="34"/>
      <c r="D104" s="30"/>
      <c r="E104" s="30"/>
      <c r="F104" s="29"/>
      <c r="G104" s="28">
        <f t="shared" si="4"/>
        <v>90.379999999999953</v>
      </c>
      <c r="H104" s="32">
        <f t="shared" si="5"/>
        <v>90.849999999999952</v>
      </c>
      <c r="I104" s="28">
        <v>94</v>
      </c>
      <c r="J104" s="28">
        <v>10.705</v>
      </c>
      <c r="K104" s="32">
        <v>7.2679999999999998</v>
      </c>
      <c r="L104" s="30">
        <v>859.06067797832952</v>
      </c>
      <c r="M104" s="29"/>
    </row>
    <row r="105" spans="1:13">
      <c r="A105" s="44"/>
      <c r="B105" s="29"/>
      <c r="C105" s="34"/>
      <c r="D105" s="30"/>
      <c r="E105" s="30"/>
      <c r="F105" s="29"/>
      <c r="G105" s="28">
        <f t="shared" ref="G105:G136" si="6">+G104+(I104/100)</f>
        <v>91.319999999999951</v>
      </c>
      <c r="H105" s="32">
        <f t="shared" ref="H105:H136" si="7">+G105+(I105/200)</f>
        <v>91.869999999999948</v>
      </c>
      <c r="I105" s="28">
        <v>110</v>
      </c>
      <c r="J105" s="28">
        <v>10.705</v>
      </c>
      <c r="K105" s="32">
        <v>8.2279999999999998</v>
      </c>
      <c r="L105" s="30">
        <v>831.07146931772593</v>
      </c>
      <c r="M105" s="29"/>
    </row>
    <row r="106" spans="1:13">
      <c r="A106" s="44"/>
      <c r="B106" s="29"/>
      <c r="C106" s="34"/>
      <c r="D106" s="30"/>
      <c r="E106" s="30"/>
      <c r="F106" s="29"/>
      <c r="G106" s="28">
        <f t="shared" si="6"/>
        <v>92.419999999999945</v>
      </c>
      <c r="H106" s="32">
        <f t="shared" si="7"/>
        <v>92.834999999999951</v>
      </c>
      <c r="I106" s="28">
        <v>83</v>
      </c>
      <c r="J106" s="28">
        <v>10.705</v>
      </c>
      <c r="K106" s="32">
        <v>6.2329999999999997</v>
      </c>
      <c r="L106" s="30">
        <v>834.36448493289527</v>
      </c>
      <c r="M106" s="29"/>
    </row>
    <row r="107" spans="1:13">
      <c r="A107" s="44"/>
      <c r="B107" s="29"/>
      <c r="C107" s="34"/>
      <c r="D107" s="30"/>
      <c r="E107" s="30"/>
      <c r="F107" s="29"/>
      <c r="G107" s="28">
        <f t="shared" si="6"/>
        <v>93.249999999999943</v>
      </c>
      <c r="H107" s="32">
        <f t="shared" si="7"/>
        <v>93.80499999999995</v>
      </c>
      <c r="I107" s="28">
        <v>111</v>
      </c>
      <c r="J107" s="28">
        <v>10.705</v>
      </c>
      <c r="K107" s="32">
        <v>8.4350000000000005</v>
      </c>
      <c r="L107" s="30">
        <v>844.30407136086785</v>
      </c>
      <c r="M107" s="29"/>
    </row>
    <row r="108" spans="1:13">
      <c r="A108" s="44"/>
      <c r="B108" s="29"/>
      <c r="C108" s="34"/>
      <c r="D108" s="30"/>
      <c r="E108" s="30"/>
      <c r="F108" s="29"/>
      <c r="G108" s="28">
        <f t="shared" si="6"/>
        <v>94.359999999999943</v>
      </c>
      <c r="H108" s="32">
        <f t="shared" si="7"/>
        <v>94.829999999999941</v>
      </c>
      <c r="I108" s="28">
        <v>94</v>
      </c>
      <c r="J108" s="28">
        <v>10.705</v>
      </c>
      <c r="K108" s="32">
        <v>7.3010000000000002</v>
      </c>
      <c r="L108" s="30">
        <v>862.96120114471444</v>
      </c>
      <c r="M108" s="29"/>
    </row>
    <row r="109" spans="1:13">
      <c r="A109" s="44"/>
      <c r="B109" s="29"/>
      <c r="C109" s="34"/>
      <c r="D109" s="30"/>
      <c r="E109" s="30"/>
      <c r="F109" s="29"/>
      <c r="G109" s="28">
        <f t="shared" si="6"/>
        <v>95.29999999999994</v>
      </c>
      <c r="H109" s="32">
        <f t="shared" si="7"/>
        <v>95.304999999999936</v>
      </c>
      <c r="I109" s="28">
        <v>1</v>
      </c>
      <c r="J109" s="26" t="s">
        <v>299</v>
      </c>
      <c r="K109" s="32"/>
      <c r="M109" s="29"/>
    </row>
    <row r="110" spans="1:13">
      <c r="A110" s="44"/>
      <c r="B110" s="29"/>
      <c r="C110" s="34"/>
      <c r="D110" s="30"/>
      <c r="E110" s="30"/>
      <c r="F110" s="29"/>
      <c r="G110" s="28">
        <f t="shared" si="6"/>
        <v>95.309999999999945</v>
      </c>
      <c r="H110" s="32">
        <f t="shared" si="7"/>
        <v>95.809999999999945</v>
      </c>
      <c r="I110" s="28">
        <v>100</v>
      </c>
      <c r="J110" s="28">
        <v>10.705</v>
      </c>
      <c r="K110" s="32">
        <v>7.6980000000000004</v>
      </c>
      <c r="L110" s="30">
        <v>855.29253620425834</v>
      </c>
      <c r="M110" s="29"/>
    </row>
    <row r="111" spans="1:13">
      <c r="A111" s="44"/>
      <c r="B111" s="29"/>
      <c r="C111" s="34"/>
      <c r="D111" s="30"/>
      <c r="E111" s="30"/>
      <c r="F111" s="29"/>
      <c r="G111" s="28">
        <f t="shared" si="6"/>
        <v>96.309999999999945</v>
      </c>
      <c r="H111" s="32">
        <f t="shared" si="7"/>
        <v>96.829999999999941</v>
      </c>
      <c r="I111" s="28">
        <v>104</v>
      </c>
      <c r="J111" s="28">
        <v>10.705</v>
      </c>
      <c r="K111" s="32">
        <v>7.9489999999999998</v>
      </c>
      <c r="L111" s="30">
        <v>849.21162967999339</v>
      </c>
      <c r="M111" s="29"/>
    </row>
    <row r="112" spans="1:13">
      <c r="A112" s="44"/>
      <c r="B112" s="29"/>
      <c r="C112" s="34"/>
      <c r="D112" s="30"/>
      <c r="E112" s="30"/>
      <c r="F112" s="29"/>
      <c r="G112" s="28">
        <f t="shared" si="6"/>
        <v>97.349999999999952</v>
      </c>
      <c r="H112" s="32">
        <f t="shared" si="7"/>
        <v>97.854999999999947</v>
      </c>
      <c r="I112" s="28">
        <v>101</v>
      </c>
      <c r="J112" s="28">
        <v>10.705</v>
      </c>
      <c r="K112" s="32">
        <v>7.7489999999999997</v>
      </c>
      <c r="L112" s="30">
        <v>852.43458671878227</v>
      </c>
      <c r="M112" s="29"/>
    </row>
    <row r="113" spans="1:13">
      <c r="A113" s="44"/>
      <c r="B113" s="29"/>
      <c r="C113" s="34"/>
      <c r="D113" s="30"/>
      <c r="E113" s="30"/>
      <c r="F113" s="29"/>
      <c r="G113" s="28">
        <f t="shared" si="6"/>
        <v>98.359999999999957</v>
      </c>
      <c r="H113" s="32">
        <f t="shared" si="7"/>
        <v>98.784999999999954</v>
      </c>
      <c r="I113" s="28">
        <v>85</v>
      </c>
      <c r="J113" s="28">
        <v>10.705</v>
      </c>
      <c r="K113" s="32">
        <v>6.5129999999999999</v>
      </c>
      <c r="L113" s="30">
        <v>851.33194080942826</v>
      </c>
      <c r="M113" s="29"/>
    </row>
    <row r="114" spans="1:13">
      <c r="A114" s="44"/>
      <c r="B114" s="29"/>
      <c r="C114" s="34"/>
      <c r="D114" s="30"/>
      <c r="E114" s="30"/>
      <c r="F114" s="29"/>
      <c r="G114" s="28">
        <f t="shared" si="6"/>
        <v>99.209999999999951</v>
      </c>
      <c r="H114" s="32">
        <f t="shared" si="7"/>
        <v>99.634999999999948</v>
      </c>
      <c r="I114" s="28">
        <v>85</v>
      </c>
      <c r="J114" s="26" t="s">
        <v>299</v>
      </c>
      <c r="K114" s="32"/>
      <c r="M114" s="29"/>
    </row>
    <row r="115" spans="1:13">
      <c r="A115" s="44"/>
      <c r="B115" s="29"/>
      <c r="C115" s="34"/>
      <c r="D115" s="30"/>
      <c r="E115" s="30"/>
      <c r="F115" s="29"/>
      <c r="G115" s="28">
        <f t="shared" si="6"/>
        <v>100.05999999999995</v>
      </c>
      <c r="H115" s="32">
        <f t="shared" si="7"/>
        <v>100.48499999999994</v>
      </c>
      <c r="I115" s="28">
        <v>85</v>
      </c>
      <c r="J115" s="28">
        <v>10.705</v>
      </c>
      <c r="K115" s="32">
        <v>6.601</v>
      </c>
      <c r="L115" s="30">
        <v>862.83466010794359</v>
      </c>
      <c r="M115" s="29"/>
    </row>
    <row r="116" spans="1:13">
      <c r="A116" s="44"/>
      <c r="B116" s="29"/>
      <c r="C116" s="34"/>
      <c r="D116" s="30"/>
      <c r="E116" s="30"/>
      <c r="F116" s="29"/>
      <c r="G116" s="28">
        <f t="shared" si="6"/>
        <v>100.90999999999994</v>
      </c>
      <c r="H116" s="32">
        <f t="shared" si="7"/>
        <v>101.45499999999994</v>
      </c>
      <c r="I116" s="28">
        <v>109</v>
      </c>
      <c r="J116" s="28">
        <v>10.705</v>
      </c>
      <c r="K116" s="32">
        <v>8.3350000000000009</v>
      </c>
      <c r="L116" s="30">
        <v>849.60269547702092</v>
      </c>
      <c r="M116" s="29"/>
    </row>
    <row r="117" spans="1:13">
      <c r="A117" s="44"/>
      <c r="B117" s="29"/>
      <c r="C117" s="34"/>
      <c r="D117" s="30"/>
      <c r="E117" s="30"/>
      <c r="F117" s="29"/>
      <c r="G117" s="28">
        <f t="shared" si="6"/>
        <v>101.99999999999994</v>
      </c>
      <c r="H117" s="32">
        <f t="shared" si="7"/>
        <v>102.48499999999994</v>
      </c>
      <c r="I117" s="28">
        <v>97</v>
      </c>
      <c r="J117" s="28">
        <v>10.705</v>
      </c>
      <c r="K117" s="32">
        <v>7.5259999999999998</v>
      </c>
      <c r="L117" s="30">
        <v>862.04364602310034</v>
      </c>
      <c r="M117" s="29"/>
    </row>
    <row r="118" spans="1:13">
      <c r="A118" s="44"/>
      <c r="B118" s="29"/>
      <c r="C118" s="34"/>
      <c r="D118" s="30"/>
      <c r="E118" s="30"/>
      <c r="F118" s="29"/>
      <c r="G118" s="28">
        <f t="shared" si="6"/>
        <v>102.96999999999994</v>
      </c>
      <c r="H118" s="32">
        <f t="shared" si="7"/>
        <v>103.39499999999994</v>
      </c>
      <c r="I118" s="28">
        <v>85</v>
      </c>
      <c r="J118" s="28">
        <v>10.705</v>
      </c>
      <c r="K118" s="32">
        <v>6.7759999999999998</v>
      </c>
      <c r="L118" s="30">
        <v>885.70938598567261</v>
      </c>
      <c r="M118" s="29"/>
    </row>
    <row r="119" spans="1:13">
      <c r="A119" s="44"/>
      <c r="B119" s="29"/>
      <c r="C119" s="34"/>
      <c r="D119" s="30"/>
      <c r="E119" s="30"/>
      <c r="F119" s="29"/>
      <c r="G119" s="28">
        <f t="shared" si="6"/>
        <v>103.81999999999994</v>
      </c>
      <c r="H119" s="32">
        <f t="shared" si="7"/>
        <v>104.27499999999993</v>
      </c>
      <c r="I119" s="28">
        <v>91</v>
      </c>
      <c r="J119" s="28">
        <v>10.705</v>
      </c>
      <c r="K119" s="32">
        <v>7.3150000000000004</v>
      </c>
      <c r="L119" s="30">
        <v>893.1197916876007</v>
      </c>
      <c r="M119" s="29"/>
    </row>
    <row r="120" spans="1:13">
      <c r="A120" s="44"/>
      <c r="B120" s="29"/>
      <c r="C120" s="34"/>
      <c r="D120" s="30"/>
      <c r="E120" s="30"/>
      <c r="F120" s="29"/>
      <c r="G120" s="28">
        <f t="shared" si="6"/>
        <v>104.72999999999993</v>
      </c>
      <c r="H120" s="32">
        <f t="shared" si="7"/>
        <v>104.73999999999994</v>
      </c>
      <c r="I120" s="28">
        <v>2</v>
      </c>
      <c r="J120" s="28"/>
      <c r="K120" s="32"/>
      <c r="M120" s="29"/>
    </row>
    <row r="121" spans="1:13">
      <c r="A121" s="44"/>
      <c r="B121" s="29"/>
      <c r="C121" s="34"/>
      <c r="D121" s="30"/>
      <c r="E121" s="30"/>
      <c r="F121" s="29"/>
      <c r="G121" s="28">
        <f t="shared" si="6"/>
        <v>104.74999999999993</v>
      </c>
      <c r="H121" s="32">
        <f t="shared" si="7"/>
        <v>105.19499999999992</v>
      </c>
      <c r="I121" s="28">
        <v>89</v>
      </c>
      <c r="J121" s="28">
        <v>10.705</v>
      </c>
      <c r="K121" s="32">
        <v>7.1360000000000001</v>
      </c>
      <c r="L121" s="30">
        <v>890.8438990944079</v>
      </c>
      <c r="M121" s="29"/>
    </row>
    <row r="122" spans="1:13">
      <c r="A122" s="44"/>
      <c r="B122" s="29"/>
      <c r="C122" s="34"/>
      <c r="D122" s="30"/>
      <c r="E122" s="30"/>
      <c r="F122" s="29"/>
      <c r="G122" s="28">
        <f t="shared" si="6"/>
        <v>105.63999999999993</v>
      </c>
      <c r="H122" s="32">
        <f t="shared" si="7"/>
        <v>105.65999999999993</v>
      </c>
      <c r="I122" s="28">
        <v>4</v>
      </c>
      <c r="J122" s="28"/>
      <c r="K122" s="32"/>
      <c r="M122" s="29"/>
    </row>
    <row r="123" spans="1:13">
      <c r="A123" s="44"/>
      <c r="B123" s="29"/>
      <c r="C123" s="34"/>
      <c r="D123" s="30"/>
      <c r="E123" s="30"/>
      <c r="F123" s="29"/>
      <c r="G123" s="28">
        <f t="shared" si="6"/>
        <v>105.67999999999994</v>
      </c>
      <c r="H123" s="32">
        <f t="shared" si="7"/>
        <v>106.16499999999994</v>
      </c>
      <c r="I123" s="28">
        <v>97</v>
      </c>
      <c r="J123" s="28">
        <v>10.795</v>
      </c>
      <c r="K123" s="32">
        <v>7.641</v>
      </c>
      <c r="L123" s="30">
        <v>860.68313027993406</v>
      </c>
      <c r="M123" s="29"/>
    </row>
    <row r="124" spans="1:13">
      <c r="A124" s="44"/>
      <c r="B124" s="29"/>
      <c r="C124" s="34"/>
      <c r="D124" s="30"/>
      <c r="E124" s="30"/>
      <c r="F124" s="29"/>
      <c r="G124" s="28">
        <f t="shared" si="6"/>
        <v>106.64999999999993</v>
      </c>
      <c r="H124" s="32">
        <f t="shared" si="7"/>
        <v>107.09999999999994</v>
      </c>
      <c r="I124" s="28">
        <v>90</v>
      </c>
      <c r="J124" s="28"/>
      <c r="K124" s="32"/>
      <c r="M124" s="29"/>
    </row>
    <row r="125" spans="1:13">
      <c r="A125" s="44"/>
      <c r="B125" s="29"/>
      <c r="C125" s="34"/>
      <c r="D125" s="30"/>
      <c r="E125" s="30"/>
      <c r="F125" s="29"/>
      <c r="G125" s="28">
        <f t="shared" si="6"/>
        <v>107.54999999999994</v>
      </c>
      <c r="H125" s="32">
        <f t="shared" si="7"/>
        <v>108.01499999999994</v>
      </c>
      <c r="I125" s="28">
        <v>93</v>
      </c>
      <c r="J125" s="28"/>
      <c r="K125" s="32"/>
      <c r="M125" s="29"/>
    </row>
    <row r="126" spans="1:13">
      <c r="A126" s="44"/>
      <c r="B126" s="29"/>
      <c r="C126" s="34"/>
      <c r="D126" s="30"/>
      <c r="E126" s="30"/>
      <c r="F126" s="29"/>
      <c r="G126" s="28">
        <f t="shared" si="6"/>
        <v>108.47999999999995</v>
      </c>
      <c r="H126" s="32">
        <f t="shared" si="7"/>
        <v>108.48499999999994</v>
      </c>
      <c r="I126" s="28">
        <v>1</v>
      </c>
      <c r="J126" s="28"/>
      <c r="K126" s="32"/>
      <c r="M126" s="29"/>
    </row>
    <row r="127" spans="1:13">
      <c r="A127" s="44"/>
      <c r="B127" s="29"/>
      <c r="C127" s="34"/>
      <c r="D127" s="30"/>
      <c r="E127" s="30"/>
      <c r="F127" s="29"/>
      <c r="G127" s="28">
        <f t="shared" si="6"/>
        <v>108.48999999999995</v>
      </c>
      <c r="H127" s="32">
        <f t="shared" si="7"/>
        <v>108.82499999999995</v>
      </c>
      <c r="I127" s="28">
        <v>67</v>
      </c>
      <c r="J127" s="28">
        <v>10.705</v>
      </c>
      <c r="K127" s="32">
        <v>5.27</v>
      </c>
      <c r="L127" s="30">
        <v>873.92183001524745</v>
      </c>
      <c r="M127" s="29"/>
    </row>
    <row r="128" spans="1:13">
      <c r="A128" s="44"/>
      <c r="B128" s="29"/>
      <c r="C128" s="34"/>
      <c r="D128" s="30"/>
      <c r="E128" s="30"/>
      <c r="F128" s="29"/>
      <c r="G128" s="28">
        <f t="shared" si="6"/>
        <v>109.15999999999995</v>
      </c>
      <c r="H128" s="32">
        <f t="shared" si="7"/>
        <v>109.17999999999995</v>
      </c>
      <c r="I128" s="28">
        <v>4</v>
      </c>
      <c r="J128" s="28"/>
      <c r="K128" s="32"/>
      <c r="M128" s="29"/>
    </row>
    <row r="129" spans="1:13">
      <c r="A129" s="44"/>
      <c r="B129" s="29"/>
      <c r="C129" s="34"/>
      <c r="D129" s="30"/>
      <c r="E129" s="30"/>
      <c r="F129" s="29"/>
      <c r="G129" s="28">
        <f t="shared" si="6"/>
        <v>109.19999999999996</v>
      </c>
      <c r="H129" s="32">
        <f t="shared" si="7"/>
        <v>109.61499999999997</v>
      </c>
      <c r="I129" s="28">
        <v>83</v>
      </c>
      <c r="J129" s="28">
        <v>10.705</v>
      </c>
      <c r="K129" s="32">
        <v>6.6280000000000001</v>
      </c>
      <c r="L129" s="30">
        <v>887.24014216833461</v>
      </c>
      <c r="M129" s="29"/>
    </row>
    <row r="130" spans="1:13">
      <c r="A130" s="44"/>
      <c r="B130" s="29"/>
      <c r="C130" s="34"/>
      <c r="D130" s="30"/>
      <c r="E130" s="30"/>
      <c r="F130" s="29"/>
      <c r="G130" s="28">
        <f t="shared" si="6"/>
        <v>110.02999999999996</v>
      </c>
      <c r="H130" s="32">
        <f t="shared" si="7"/>
        <v>110.03499999999995</v>
      </c>
      <c r="I130" s="28">
        <v>1</v>
      </c>
      <c r="J130" s="28"/>
      <c r="K130" s="32"/>
      <c r="M130" s="29"/>
    </row>
    <row r="131" spans="1:13">
      <c r="A131" s="44"/>
      <c r="B131" s="29"/>
      <c r="C131" s="34"/>
      <c r="D131" s="30"/>
      <c r="E131" s="30"/>
      <c r="F131" s="29"/>
      <c r="G131" s="28">
        <f t="shared" si="6"/>
        <v>110.03999999999996</v>
      </c>
      <c r="H131" s="32">
        <f t="shared" si="7"/>
        <v>110.45999999999997</v>
      </c>
      <c r="I131" s="28">
        <v>84</v>
      </c>
      <c r="J131" s="28">
        <v>10.705</v>
      </c>
      <c r="K131" s="32">
        <v>6.6740000000000004</v>
      </c>
      <c r="L131" s="30">
        <v>882.7621253861895</v>
      </c>
      <c r="M131" s="29"/>
    </row>
    <row r="132" spans="1:13">
      <c r="A132" s="44"/>
      <c r="B132" s="29"/>
      <c r="C132" s="34"/>
      <c r="D132" s="30"/>
      <c r="E132" s="30"/>
      <c r="F132" s="29"/>
      <c r="G132" s="28">
        <f t="shared" si="6"/>
        <v>110.87999999999997</v>
      </c>
      <c r="H132" s="32">
        <f t="shared" si="7"/>
        <v>110.88999999999997</v>
      </c>
      <c r="I132" s="28">
        <v>2</v>
      </c>
      <c r="J132" s="28"/>
      <c r="K132" s="32"/>
      <c r="M132" s="29"/>
    </row>
    <row r="133" spans="1:13">
      <c r="A133" s="44"/>
      <c r="B133" s="29"/>
      <c r="C133" s="34"/>
      <c r="D133" s="30"/>
      <c r="E133" s="30"/>
      <c r="F133" s="29"/>
      <c r="G133" s="28">
        <f t="shared" si="6"/>
        <v>110.89999999999996</v>
      </c>
      <c r="H133" s="32">
        <f t="shared" si="7"/>
        <v>111.36999999999996</v>
      </c>
      <c r="I133" s="28">
        <v>94</v>
      </c>
      <c r="J133" s="28">
        <v>10.705</v>
      </c>
      <c r="K133" s="32">
        <v>7.1639999999999997</v>
      </c>
      <c r="L133" s="30">
        <v>846.76812012063192</v>
      </c>
      <c r="M133" s="29"/>
    </row>
    <row r="134" spans="1:13">
      <c r="A134" s="44"/>
      <c r="B134" s="29"/>
      <c r="C134" s="34"/>
      <c r="D134" s="30"/>
      <c r="E134" s="30"/>
      <c r="F134" s="29"/>
      <c r="G134" s="28">
        <f t="shared" si="6"/>
        <v>111.83999999999996</v>
      </c>
      <c r="H134" s="32">
        <f t="shared" si="7"/>
        <v>112.31499999999996</v>
      </c>
      <c r="I134" s="28">
        <v>95</v>
      </c>
      <c r="J134" s="28">
        <v>10.705</v>
      </c>
      <c r="K134" s="32">
        <v>7.3929999999999998</v>
      </c>
      <c r="L134" s="30">
        <v>864.63711971094108</v>
      </c>
      <c r="M134" s="29"/>
    </row>
    <row r="135" spans="1:13">
      <c r="A135" s="44"/>
      <c r="B135" s="29"/>
      <c r="C135" s="34"/>
      <c r="D135" s="30"/>
      <c r="E135" s="30"/>
      <c r="F135" s="29"/>
      <c r="G135" s="28">
        <f t="shared" si="6"/>
        <v>112.78999999999996</v>
      </c>
      <c r="H135" s="32">
        <f t="shared" si="7"/>
        <v>113.24999999999996</v>
      </c>
      <c r="I135" s="28">
        <v>92</v>
      </c>
      <c r="J135" s="28">
        <v>10.705</v>
      </c>
      <c r="K135" s="32">
        <v>7.2149999999999999</v>
      </c>
      <c r="L135" s="30">
        <v>871.33524923381026</v>
      </c>
      <c r="M135" s="29"/>
    </row>
    <row r="136" spans="1:13">
      <c r="A136" s="44"/>
      <c r="B136" s="29"/>
      <c r="C136" s="34"/>
      <c r="D136" s="30"/>
      <c r="E136" s="30"/>
      <c r="F136" s="29"/>
      <c r="G136" s="28">
        <f t="shared" si="6"/>
        <v>113.70999999999997</v>
      </c>
      <c r="H136" s="32">
        <f t="shared" si="7"/>
        <v>113.72499999999997</v>
      </c>
      <c r="I136" s="28">
        <v>3</v>
      </c>
      <c r="J136" s="28"/>
      <c r="K136" s="32"/>
      <c r="M136" s="29"/>
    </row>
    <row r="137" spans="1:13">
      <c r="A137" s="44"/>
      <c r="B137" s="29"/>
      <c r="C137" s="34"/>
      <c r="D137" s="30"/>
      <c r="E137" s="30"/>
      <c r="F137" s="29"/>
      <c r="G137" s="28">
        <f t="shared" ref="G137:G148" si="8">+G136+(I136/100)</f>
        <v>113.73999999999997</v>
      </c>
      <c r="H137" s="32">
        <f t="shared" ref="H137:H147" si="9">+G137+(I137/200)</f>
        <v>114.21999999999997</v>
      </c>
      <c r="I137" s="28">
        <v>96</v>
      </c>
      <c r="J137" s="28">
        <v>10.705</v>
      </c>
      <c r="K137" s="32">
        <v>7.6609999999999996</v>
      </c>
      <c r="L137" s="30">
        <v>886.64752206482547</v>
      </c>
      <c r="M137" s="29"/>
    </row>
    <row r="138" spans="1:13">
      <c r="A138" s="44"/>
      <c r="B138" s="29"/>
      <c r="C138" s="34"/>
      <c r="D138" s="30"/>
      <c r="E138" s="30"/>
      <c r="F138" s="29"/>
      <c r="G138" s="28">
        <f t="shared" si="8"/>
        <v>114.69999999999996</v>
      </c>
      <c r="H138" s="32">
        <f t="shared" si="9"/>
        <v>115.17499999999995</v>
      </c>
      <c r="I138" s="28">
        <v>95</v>
      </c>
      <c r="J138" s="28">
        <v>10.705</v>
      </c>
      <c r="K138" s="32">
        <v>7.3739999999999997</v>
      </c>
      <c r="L138" s="30">
        <v>862.41500348281875</v>
      </c>
      <c r="M138" s="29"/>
    </row>
    <row r="139" spans="1:13">
      <c r="A139" s="44"/>
      <c r="B139" s="29"/>
      <c r="C139" s="34"/>
      <c r="D139" s="30"/>
      <c r="E139" s="30"/>
      <c r="F139" s="29"/>
      <c r="G139" s="28">
        <f t="shared" si="8"/>
        <v>115.64999999999996</v>
      </c>
      <c r="H139" s="32">
        <f t="shared" si="9"/>
        <v>115.66999999999996</v>
      </c>
      <c r="I139" s="28">
        <v>4</v>
      </c>
      <c r="J139" s="28"/>
      <c r="K139" s="32"/>
      <c r="M139" s="29"/>
    </row>
    <row r="140" spans="1:13">
      <c r="A140" s="44"/>
      <c r="B140" s="29"/>
      <c r="C140" s="34"/>
      <c r="D140" s="30"/>
      <c r="E140" s="30"/>
      <c r="F140" s="29"/>
      <c r="G140" s="28">
        <f t="shared" si="8"/>
        <v>115.68999999999997</v>
      </c>
      <c r="H140" s="32">
        <f t="shared" si="9"/>
        <v>116.14499999999997</v>
      </c>
      <c r="I140" s="28">
        <v>91</v>
      </c>
      <c r="J140" s="28">
        <v>10.705</v>
      </c>
      <c r="K140" s="32">
        <v>7.3529999999999998</v>
      </c>
      <c r="L140" s="30">
        <v>897.75937502104262</v>
      </c>
      <c r="M140" s="29"/>
    </row>
    <row r="141" spans="1:13">
      <c r="A141" s="44"/>
      <c r="B141" s="29"/>
      <c r="C141" s="34"/>
      <c r="D141" s="30"/>
      <c r="E141" s="30"/>
      <c r="F141" s="29"/>
      <c r="G141" s="28">
        <f t="shared" si="8"/>
        <v>116.59999999999997</v>
      </c>
      <c r="H141" s="32">
        <f t="shared" si="9"/>
        <v>116.60999999999997</v>
      </c>
      <c r="I141" s="28">
        <v>2</v>
      </c>
      <c r="J141" s="28"/>
      <c r="K141" s="32"/>
      <c r="M141" s="29"/>
    </row>
    <row r="142" spans="1:13">
      <c r="A142" s="44"/>
      <c r="B142" s="29"/>
      <c r="C142" s="34"/>
      <c r="D142" s="30"/>
      <c r="E142" s="30"/>
      <c r="F142" s="29"/>
      <c r="G142" s="28">
        <f t="shared" si="8"/>
        <v>116.61999999999996</v>
      </c>
      <c r="H142" s="32">
        <f t="shared" si="9"/>
        <v>117.12499999999996</v>
      </c>
      <c r="I142" s="28">
        <v>101</v>
      </c>
      <c r="J142" s="28">
        <v>10.705</v>
      </c>
      <c r="K142" s="32">
        <v>7.72</v>
      </c>
      <c r="L142" s="30">
        <v>849.24441985662656</v>
      </c>
      <c r="M142" s="29"/>
    </row>
    <row r="143" spans="1:13">
      <c r="A143" s="44"/>
      <c r="B143" s="29"/>
      <c r="C143" s="34"/>
      <c r="D143" s="30"/>
      <c r="E143" s="30"/>
      <c r="F143" s="29"/>
      <c r="G143" s="28">
        <f t="shared" si="8"/>
        <v>117.62999999999997</v>
      </c>
      <c r="H143" s="32">
        <f t="shared" si="9"/>
        <v>118.07999999999997</v>
      </c>
      <c r="I143" s="28">
        <v>90</v>
      </c>
      <c r="J143" s="28">
        <v>10.705</v>
      </c>
      <c r="K143" s="32">
        <v>7.1630000000000003</v>
      </c>
      <c r="L143" s="30">
        <v>884.27880789109815</v>
      </c>
      <c r="M143" s="29"/>
    </row>
    <row r="144" spans="1:13">
      <c r="A144" s="44"/>
      <c r="B144" s="29"/>
      <c r="C144" s="34"/>
      <c r="D144" s="30"/>
      <c r="E144" s="30"/>
      <c r="F144" s="29"/>
      <c r="G144" s="28">
        <f t="shared" si="8"/>
        <v>118.52999999999997</v>
      </c>
      <c r="H144" s="32">
        <f t="shared" si="9"/>
        <v>118.53999999999998</v>
      </c>
      <c r="I144" s="28">
        <v>2</v>
      </c>
      <c r="J144" s="28"/>
      <c r="K144" s="32"/>
      <c r="M144" s="29"/>
    </row>
    <row r="145" spans="1:13">
      <c r="A145" s="44"/>
      <c r="B145" s="29"/>
      <c r="C145" s="34"/>
      <c r="D145" s="30"/>
      <c r="E145" s="30"/>
      <c r="F145" s="29"/>
      <c r="G145" s="28">
        <f t="shared" si="8"/>
        <v>118.54999999999997</v>
      </c>
      <c r="H145" s="32">
        <f t="shared" si="9"/>
        <v>119.04499999999997</v>
      </c>
      <c r="I145" s="28">
        <v>99</v>
      </c>
      <c r="J145" s="28">
        <v>10.705</v>
      </c>
      <c r="K145" s="32">
        <v>7.8449999999999998</v>
      </c>
      <c r="L145" s="30">
        <v>880.42938432419862</v>
      </c>
      <c r="M145" s="29"/>
    </row>
    <row r="146" spans="1:13">
      <c r="A146" s="44"/>
      <c r="B146" s="29"/>
      <c r="C146" s="34"/>
      <c r="D146" s="30"/>
      <c r="E146" s="30"/>
      <c r="F146" s="29"/>
      <c r="G146" s="28">
        <f t="shared" si="8"/>
        <v>119.53999999999996</v>
      </c>
      <c r="H146" s="32">
        <f t="shared" si="9"/>
        <v>119.55499999999996</v>
      </c>
      <c r="I146" s="28">
        <v>3</v>
      </c>
      <c r="J146" s="28"/>
      <c r="K146" s="32"/>
      <c r="M146" s="29"/>
    </row>
    <row r="147" spans="1:13">
      <c r="A147" s="44"/>
      <c r="B147" s="29"/>
      <c r="C147" s="34"/>
      <c r="D147" s="30"/>
      <c r="E147" s="30"/>
      <c r="F147" s="29"/>
      <c r="G147" s="28">
        <f t="shared" si="8"/>
        <v>119.56999999999996</v>
      </c>
      <c r="H147" s="32">
        <f t="shared" si="9"/>
        <v>120.02499999999996</v>
      </c>
      <c r="I147" s="28">
        <v>91</v>
      </c>
      <c r="J147" s="28">
        <v>10.705</v>
      </c>
      <c r="K147" s="32">
        <v>7.407</v>
      </c>
      <c r="L147" s="30">
        <v>904.3524671264604</v>
      </c>
      <c r="M147" s="29"/>
    </row>
    <row r="148" spans="1:13">
      <c r="A148" s="44"/>
      <c r="B148" s="29"/>
      <c r="C148" s="34"/>
      <c r="D148" s="30"/>
      <c r="E148" s="30"/>
      <c r="F148" s="29"/>
      <c r="G148" s="28">
        <f t="shared" si="8"/>
        <v>120.47999999999996</v>
      </c>
      <c r="H148" s="32"/>
      <c r="I148" s="28"/>
      <c r="J148" s="28"/>
      <c r="K148" s="32"/>
      <c r="M148" s="29"/>
    </row>
    <row r="149" spans="1:13">
      <c r="A149" s="44"/>
      <c r="B149" s="29"/>
      <c r="C149" s="34"/>
      <c r="D149" s="30"/>
      <c r="E149" s="30"/>
      <c r="F149" s="29"/>
      <c r="G149" s="29"/>
      <c r="H149" s="30"/>
      <c r="I149" s="29"/>
      <c r="J149" s="29"/>
      <c r="M149" s="29"/>
    </row>
    <row r="150" spans="1:13">
      <c r="A150" s="44"/>
      <c r="B150" s="29"/>
      <c r="C150" s="34"/>
      <c r="D150" s="30"/>
      <c r="E150" s="30"/>
      <c r="F150" s="29"/>
      <c r="G150" s="29"/>
      <c r="H150" s="30"/>
      <c r="I150" s="29"/>
      <c r="J150" s="29"/>
      <c r="M150" s="29"/>
    </row>
    <row r="151" spans="1:13">
      <c r="A151" s="44"/>
      <c r="B151" s="29"/>
      <c r="C151" s="34"/>
      <c r="D151" s="30"/>
      <c r="E151" s="30"/>
      <c r="F151" s="29"/>
      <c r="G151" s="29"/>
      <c r="H151" s="30"/>
      <c r="I151" s="29"/>
      <c r="J151" s="29"/>
      <c r="M151" s="29"/>
    </row>
    <row r="152" spans="1:13">
      <c r="A152" s="44"/>
      <c r="B152" s="29"/>
      <c r="C152" s="34"/>
      <c r="D152" s="30"/>
      <c r="E152" s="30"/>
      <c r="F152" s="29"/>
      <c r="G152" s="29"/>
      <c r="H152" s="30"/>
      <c r="I152" s="29"/>
      <c r="J152" s="29"/>
      <c r="M152" s="29"/>
    </row>
    <row r="153" spans="1:13">
      <c r="A153" s="44"/>
      <c r="B153" s="29"/>
      <c r="C153" s="34"/>
      <c r="D153" s="30"/>
      <c r="E153" s="30"/>
      <c r="F153" s="29"/>
      <c r="G153" s="29"/>
      <c r="H153" s="30"/>
      <c r="I153" s="29"/>
      <c r="J153" s="29"/>
      <c r="M153" s="29"/>
    </row>
    <row r="154" spans="1:13">
      <c r="A154" s="44"/>
      <c r="B154" s="29"/>
      <c r="C154" s="34"/>
      <c r="D154" s="30"/>
      <c r="E154" s="30"/>
      <c r="F154" s="29"/>
      <c r="G154" s="29"/>
      <c r="H154" s="30"/>
      <c r="I154" s="29"/>
      <c r="J154" s="29"/>
      <c r="M154" s="29"/>
    </row>
    <row r="155" spans="1:13">
      <c r="A155" s="44"/>
      <c r="B155" s="29"/>
      <c r="C155" s="34"/>
      <c r="D155" s="30"/>
      <c r="E155" s="30"/>
      <c r="F155" s="29"/>
      <c r="G155" s="29"/>
      <c r="H155" s="30"/>
      <c r="I155" s="29"/>
      <c r="J155" s="29"/>
      <c r="M155" s="29"/>
    </row>
    <row r="156" spans="1:13">
      <c r="A156" s="44"/>
      <c r="B156" s="29"/>
      <c r="C156" s="34"/>
      <c r="D156" s="30"/>
      <c r="E156" s="30"/>
      <c r="F156" s="29"/>
      <c r="G156" s="29"/>
      <c r="H156" s="30"/>
      <c r="I156" s="29"/>
      <c r="J156" s="29"/>
      <c r="M156" s="29"/>
    </row>
    <row r="157" spans="1:13">
      <c r="A157" s="44"/>
      <c r="B157" s="29"/>
      <c r="C157" s="34"/>
      <c r="D157" s="30"/>
      <c r="E157" s="30"/>
      <c r="F157" s="29"/>
      <c r="G157" s="29"/>
      <c r="H157" s="30"/>
      <c r="I157" s="29"/>
      <c r="J157" s="29"/>
      <c r="M157" s="29"/>
    </row>
    <row r="158" spans="1:13">
      <c r="A158" s="44"/>
      <c r="B158" s="29"/>
      <c r="C158" s="34"/>
      <c r="D158" s="30"/>
      <c r="E158" s="30"/>
      <c r="F158" s="29"/>
      <c r="G158" s="29"/>
      <c r="H158" s="30"/>
      <c r="I158" s="29"/>
      <c r="J158" s="29"/>
      <c r="M158" s="29"/>
    </row>
    <row r="159" spans="1:13">
      <c r="A159" s="44"/>
      <c r="B159" s="29"/>
      <c r="C159" s="34"/>
      <c r="D159" s="30"/>
      <c r="E159" s="30"/>
      <c r="F159" s="29"/>
      <c r="G159" s="29"/>
      <c r="H159" s="30"/>
      <c r="I159" s="29"/>
      <c r="J159" s="29"/>
      <c r="M159" s="29"/>
    </row>
    <row r="160" spans="1:13">
      <c r="A160" s="44"/>
      <c r="B160" s="29"/>
      <c r="C160" s="34"/>
      <c r="D160" s="30"/>
      <c r="E160" s="30"/>
      <c r="F160" s="29"/>
      <c r="G160" s="29"/>
      <c r="H160" s="30"/>
      <c r="I160" s="29"/>
      <c r="J160" s="29"/>
      <c r="M160" s="29"/>
    </row>
    <row r="161" spans="1:13">
      <c r="A161" s="44"/>
      <c r="B161" s="29"/>
      <c r="C161" s="34"/>
      <c r="D161" s="30"/>
      <c r="E161" s="30"/>
      <c r="F161" s="29"/>
      <c r="G161" s="29"/>
      <c r="H161" s="30"/>
      <c r="I161" s="29"/>
      <c r="J161" s="29"/>
      <c r="M161" s="29"/>
    </row>
    <row r="162" spans="1:13">
      <c r="A162" s="44"/>
      <c r="B162" s="29"/>
      <c r="C162" s="34"/>
      <c r="D162" s="30"/>
      <c r="E162" s="30"/>
      <c r="F162" s="29"/>
      <c r="G162" s="29"/>
      <c r="H162" s="30"/>
      <c r="I162" s="29"/>
      <c r="J162" s="29"/>
      <c r="M162" s="29"/>
    </row>
    <row r="163" spans="1:13">
      <c r="A163" s="44"/>
      <c r="B163" s="29"/>
      <c r="C163" s="34"/>
      <c r="D163" s="30"/>
      <c r="E163" s="30"/>
      <c r="F163" s="29"/>
      <c r="G163" s="29"/>
      <c r="H163" s="30"/>
      <c r="I163" s="29"/>
      <c r="J163" s="29"/>
      <c r="M163" s="29"/>
    </row>
    <row r="164" spans="1:13">
      <c r="A164" s="44"/>
      <c r="B164" s="29"/>
      <c r="C164" s="34"/>
      <c r="D164" s="30"/>
      <c r="E164" s="30"/>
      <c r="F164" s="29"/>
      <c r="G164" s="29"/>
      <c r="H164" s="30"/>
      <c r="I164" s="29"/>
      <c r="J164" s="29"/>
      <c r="M164" s="29"/>
    </row>
    <row r="165" spans="1:13">
      <c r="A165" s="44"/>
      <c r="B165" s="29"/>
      <c r="C165" s="34"/>
      <c r="D165" s="30"/>
      <c r="E165" s="30"/>
      <c r="F165" s="29"/>
      <c r="G165" s="29"/>
      <c r="H165" s="30"/>
      <c r="I165" s="29"/>
      <c r="J165" s="29"/>
      <c r="M165" s="29"/>
    </row>
    <row r="166" spans="1:13">
      <c r="A166" s="44"/>
      <c r="B166" s="29"/>
      <c r="C166" s="34"/>
      <c r="D166" s="30"/>
      <c r="E166" s="30"/>
      <c r="F166" s="29"/>
      <c r="G166" s="29"/>
      <c r="H166" s="30"/>
      <c r="I166" s="29"/>
      <c r="J166" s="29"/>
      <c r="M166" s="29"/>
    </row>
    <row r="167" spans="1:13">
      <c r="A167" s="44"/>
      <c r="B167" s="29"/>
      <c r="C167" s="34"/>
      <c r="D167" s="30"/>
      <c r="E167" s="30"/>
      <c r="F167" s="29"/>
      <c r="G167" s="29"/>
      <c r="H167" s="30"/>
      <c r="I167" s="29"/>
      <c r="J167" s="29"/>
      <c r="M167" s="29"/>
    </row>
    <row r="168" spans="1:13">
      <c r="A168" s="44"/>
      <c r="B168" s="29"/>
      <c r="C168" s="34"/>
      <c r="D168" s="30"/>
      <c r="E168" s="30"/>
      <c r="F168" s="29"/>
      <c r="G168" s="29"/>
      <c r="H168" s="30"/>
      <c r="I168" s="29"/>
      <c r="J168" s="29"/>
      <c r="M168" s="29"/>
    </row>
    <row r="169" spans="1:13">
      <c r="A169" s="44"/>
      <c r="B169" s="29"/>
      <c r="C169" s="34"/>
      <c r="D169" s="30"/>
      <c r="E169" s="30"/>
      <c r="F169" s="29"/>
      <c r="G169" s="29"/>
      <c r="H169" s="30"/>
      <c r="I169" s="29"/>
      <c r="J169" s="29"/>
      <c r="M169" s="29"/>
    </row>
    <row r="170" spans="1:13">
      <c r="A170" s="44"/>
      <c r="B170" s="29"/>
      <c r="C170" s="34"/>
      <c r="D170" s="30"/>
      <c r="E170" s="30"/>
      <c r="F170" s="29"/>
      <c r="G170" s="29"/>
      <c r="H170" s="30"/>
      <c r="I170" s="29"/>
      <c r="J170" s="29"/>
      <c r="M170" s="29"/>
    </row>
    <row r="171" spans="1:13">
      <c r="A171" s="44"/>
      <c r="B171" s="29"/>
      <c r="C171" s="34"/>
      <c r="D171" s="30"/>
      <c r="E171" s="30"/>
      <c r="F171" s="29"/>
      <c r="G171" s="29"/>
      <c r="H171" s="30"/>
      <c r="I171" s="29"/>
      <c r="J171" s="29"/>
      <c r="M171" s="29"/>
    </row>
    <row r="172" spans="1:13">
      <c r="A172" s="44"/>
      <c r="B172" s="29"/>
      <c r="C172" s="34"/>
      <c r="D172" s="30"/>
      <c r="E172" s="30"/>
      <c r="F172" s="29"/>
      <c r="G172" s="29"/>
      <c r="H172" s="30"/>
      <c r="I172" s="29"/>
      <c r="J172" s="29"/>
      <c r="M172" s="29"/>
    </row>
    <row r="173" spans="1:13">
      <c r="A173" s="44"/>
      <c r="B173" s="29"/>
      <c r="C173" s="34"/>
      <c r="D173" s="30"/>
      <c r="E173" s="30"/>
      <c r="F173" s="29"/>
      <c r="G173" s="29"/>
      <c r="H173" s="30"/>
      <c r="I173" s="29"/>
      <c r="J173" s="29"/>
      <c r="M173" s="29"/>
    </row>
    <row r="174" spans="1:13">
      <c r="A174" s="44"/>
      <c r="B174" s="29"/>
      <c r="C174" s="34"/>
      <c r="D174" s="30"/>
      <c r="E174" s="30"/>
      <c r="F174" s="29"/>
      <c r="G174" s="29"/>
      <c r="H174" s="30"/>
      <c r="I174" s="29"/>
      <c r="J174" s="29"/>
      <c r="M174" s="29"/>
    </row>
    <row r="175" spans="1:13">
      <c r="A175" s="44"/>
      <c r="B175" s="29"/>
      <c r="C175" s="34"/>
      <c r="D175" s="30"/>
      <c r="E175" s="30"/>
      <c r="F175" s="29"/>
      <c r="G175" s="29"/>
      <c r="H175" s="30"/>
      <c r="I175" s="29"/>
      <c r="J175" s="29"/>
      <c r="M175" s="29"/>
    </row>
    <row r="176" spans="1:13">
      <c r="A176" s="44"/>
      <c r="B176" s="29"/>
      <c r="C176" s="34"/>
      <c r="D176" s="30"/>
      <c r="E176" s="30"/>
      <c r="F176" s="29"/>
      <c r="G176" s="29"/>
      <c r="H176" s="30"/>
      <c r="I176" s="29"/>
      <c r="J176" s="29"/>
      <c r="M176" s="29"/>
    </row>
    <row r="177" spans="1:13">
      <c r="A177" s="44"/>
      <c r="B177" s="29"/>
      <c r="C177" s="34"/>
      <c r="D177" s="30"/>
      <c r="E177" s="30"/>
      <c r="F177" s="29"/>
      <c r="G177" s="29"/>
      <c r="H177" s="30"/>
      <c r="I177" s="29"/>
      <c r="J177" s="29"/>
      <c r="M177" s="29"/>
    </row>
    <row r="178" spans="1:13">
      <c r="A178" s="44"/>
      <c r="B178" s="29"/>
      <c r="C178" s="34"/>
      <c r="D178" s="30"/>
      <c r="E178" s="30"/>
      <c r="F178" s="29"/>
      <c r="G178" s="29"/>
      <c r="H178" s="30"/>
      <c r="I178" s="29"/>
      <c r="J178" s="29"/>
      <c r="M178" s="29"/>
    </row>
    <row r="179" spans="1:13">
      <c r="A179" s="44"/>
      <c r="B179" s="29"/>
      <c r="C179" s="34"/>
      <c r="D179" s="30"/>
      <c r="E179" s="30"/>
      <c r="F179" s="29"/>
      <c r="G179" s="29"/>
      <c r="H179" s="30"/>
      <c r="I179" s="29"/>
      <c r="J179" s="29"/>
      <c r="M179" s="29"/>
    </row>
    <row r="180" spans="1:13">
      <c r="A180" s="44"/>
      <c r="B180" s="29"/>
      <c r="C180" s="34"/>
      <c r="D180" s="30"/>
      <c r="E180" s="30"/>
      <c r="F180" s="29"/>
      <c r="G180" s="29"/>
      <c r="H180" s="30"/>
      <c r="I180" s="29"/>
      <c r="J180" s="29"/>
      <c r="M180" s="29"/>
    </row>
    <row r="181" spans="1:13">
      <c r="A181" s="44"/>
      <c r="B181" s="29"/>
      <c r="C181" s="34"/>
      <c r="D181" s="30"/>
      <c r="E181" s="30"/>
      <c r="F181" s="29"/>
      <c r="G181" s="29"/>
      <c r="H181" s="30"/>
      <c r="I181" s="29"/>
      <c r="J181" s="29"/>
      <c r="M181" s="29"/>
    </row>
    <row r="182" spans="1:13">
      <c r="A182" s="44"/>
      <c r="B182" s="29"/>
      <c r="C182" s="34"/>
      <c r="D182" s="30"/>
      <c r="E182" s="30"/>
      <c r="F182" s="29"/>
      <c r="G182" s="29"/>
      <c r="H182" s="30"/>
      <c r="I182" s="29"/>
      <c r="J182" s="29"/>
      <c r="M182" s="29"/>
    </row>
    <row r="183" spans="1:13">
      <c r="A183" s="44"/>
      <c r="B183" s="29"/>
      <c r="C183" s="34"/>
      <c r="D183" s="30"/>
      <c r="E183" s="30"/>
      <c r="F183" s="29"/>
      <c r="G183" s="29"/>
      <c r="H183" s="30"/>
      <c r="I183" s="29"/>
      <c r="J183" s="29"/>
      <c r="M183" s="29"/>
    </row>
    <row r="184" spans="1:13">
      <c r="A184" s="44"/>
      <c r="B184" s="29"/>
      <c r="C184" s="34"/>
      <c r="D184" s="30"/>
      <c r="E184" s="30"/>
      <c r="F184" s="29"/>
      <c r="G184" s="29"/>
      <c r="H184" s="30"/>
      <c r="I184" s="29"/>
      <c r="J184" s="29"/>
      <c r="M184" s="29"/>
    </row>
    <row r="185" spans="1:13">
      <c r="A185" s="44"/>
      <c r="B185" s="29"/>
      <c r="C185" s="34"/>
      <c r="D185" s="30"/>
      <c r="E185" s="30"/>
      <c r="F185" s="29"/>
      <c r="G185" s="29"/>
      <c r="H185" s="30"/>
      <c r="I185" s="29"/>
      <c r="J185" s="29"/>
      <c r="M185" s="29"/>
    </row>
    <row r="186" spans="1:13">
      <c r="A186" s="44"/>
      <c r="B186" s="29"/>
      <c r="C186" s="34"/>
      <c r="D186" s="30"/>
      <c r="E186" s="30"/>
      <c r="F186" s="29"/>
      <c r="G186" s="29"/>
      <c r="H186" s="30"/>
      <c r="I186" s="29"/>
      <c r="J186" s="29"/>
      <c r="M186" s="29"/>
    </row>
    <row r="187" spans="1:13">
      <c r="A187" s="44"/>
      <c r="B187" s="29"/>
      <c r="C187" s="34"/>
      <c r="D187" s="30"/>
      <c r="E187" s="30"/>
      <c r="F187" s="29"/>
      <c r="G187" s="29"/>
      <c r="H187" s="30"/>
      <c r="I187" s="29"/>
      <c r="J187" s="29"/>
      <c r="M187" s="29"/>
    </row>
    <row r="188" spans="1:13">
      <c r="A188" s="44"/>
      <c r="B188" s="29"/>
      <c r="C188" s="34"/>
      <c r="D188" s="30"/>
      <c r="E188" s="30"/>
      <c r="F188" s="29"/>
      <c r="G188" s="29"/>
      <c r="H188" s="30"/>
      <c r="I188" s="29"/>
      <c r="J188" s="29"/>
      <c r="M188" s="29"/>
    </row>
    <row r="189" spans="1:13">
      <c r="A189" s="44"/>
      <c r="B189" s="29"/>
      <c r="C189" s="34"/>
      <c r="D189" s="30"/>
      <c r="E189" s="30"/>
      <c r="F189" s="29"/>
      <c r="G189" s="29"/>
      <c r="H189" s="30"/>
      <c r="I189" s="29"/>
      <c r="J189" s="29"/>
      <c r="M189" s="29"/>
    </row>
    <row r="190" spans="1:13">
      <c r="A190" s="44"/>
      <c r="B190" s="29"/>
      <c r="C190" s="34"/>
      <c r="D190" s="30"/>
      <c r="E190" s="30"/>
      <c r="F190" s="29"/>
      <c r="G190" s="29"/>
      <c r="H190" s="30"/>
      <c r="I190" s="29"/>
      <c r="J190" s="29"/>
      <c r="M190" s="29"/>
    </row>
    <row r="191" spans="1:13">
      <c r="A191" s="44"/>
      <c r="B191" s="29"/>
      <c r="C191" s="34"/>
      <c r="D191" s="30"/>
      <c r="E191" s="30"/>
      <c r="F191" s="29"/>
      <c r="G191" s="29"/>
      <c r="H191" s="30"/>
      <c r="I191" s="29"/>
      <c r="J191" s="29"/>
      <c r="M191" s="29"/>
    </row>
    <row r="192" spans="1:13">
      <c r="A192" s="44"/>
      <c r="B192" s="29"/>
      <c r="C192" s="34"/>
      <c r="D192" s="30"/>
      <c r="E192" s="30"/>
      <c r="F192" s="29"/>
      <c r="G192" s="29"/>
      <c r="H192" s="30"/>
      <c r="I192" s="29"/>
      <c r="J192" s="29"/>
      <c r="M192" s="29"/>
    </row>
    <row r="193" spans="1:13">
      <c r="A193" s="44"/>
      <c r="B193" s="29"/>
      <c r="C193" s="34"/>
      <c r="D193" s="30"/>
      <c r="E193" s="30"/>
      <c r="F193" s="29"/>
      <c r="G193" s="29"/>
      <c r="H193" s="30"/>
      <c r="I193" s="29"/>
      <c r="J193" s="29"/>
      <c r="M193" s="29"/>
    </row>
    <row r="194" spans="1:13">
      <c r="A194" s="44"/>
      <c r="B194" s="29"/>
      <c r="C194" s="34"/>
      <c r="D194" s="30"/>
      <c r="E194" s="30"/>
      <c r="F194" s="29"/>
      <c r="G194" s="29"/>
      <c r="H194" s="30"/>
      <c r="I194" s="29"/>
      <c r="J194" s="29"/>
      <c r="M194" s="29"/>
    </row>
    <row r="195" spans="1:13">
      <c r="A195" s="44"/>
      <c r="B195" s="29"/>
      <c r="C195" s="34"/>
      <c r="D195" s="30"/>
      <c r="E195" s="30"/>
      <c r="F195" s="29"/>
      <c r="G195" s="29"/>
      <c r="H195" s="30"/>
      <c r="I195" s="29"/>
      <c r="J195" s="29"/>
      <c r="M195" s="29"/>
    </row>
    <row r="196" spans="1:13">
      <c r="A196" s="44"/>
      <c r="B196" s="29"/>
      <c r="C196" s="34"/>
      <c r="D196" s="30"/>
      <c r="E196" s="30"/>
      <c r="F196" s="29"/>
      <c r="G196" s="29"/>
      <c r="H196" s="30"/>
      <c r="I196" s="29"/>
      <c r="J196" s="29"/>
      <c r="M196" s="29"/>
    </row>
  </sheetData>
  <mergeCells count="1">
    <mergeCell ref="G5:H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0"/>
  <sheetViews>
    <sheetView topLeftCell="H1" workbookViewId="0">
      <selection activeCell="Y2" sqref="Y2"/>
    </sheetView>
  </sheetViews>
  <sheetFormatPr baseColWidth="10" defaultColWidth="8.83203125" defaultRowHeight="14" x14ac:dyDescent="0"/>
  <sheetData>
    <row r="1" spans="1:78" ht="18">
      <c r="A1" s="6" t="s">
        <v>167</v>
      </c>
      <c r="B1" s="6"/>
      <c r="C1" s="6"/>
      <c r="D1" s="6"/>
    </row>
    <row r="2" spans="1:78" ht="15">
      <c r="A2" s="17" t="s">
        <v>148</v>
      </c>
      <c r="B2" s="17"/>
      <c r="C2" s="16" t="s">
        <v>149</v>
      </c>
      <c r="D2" s="16"/>
      <c r="E2" s="16"/>
      <c r="G2" s="17" t="s">
        <v>168</v>
      </c>
      <c r="H2" s="17"/>
      <c r="I2" s="16" t="s">
        <v>1</v>
      </c>
      <c r="J2" s="16"/>
      <c r="K2" s="16"/>
      <c r="M2" s="17" t="s">
        <v>177</v>
      </c>
      <c r="N2" s="17"/>
      <c r="O2" s="16" t="s">
        <v>1</v>
      </c>
      <c r="P2" s="16"/>
      <c r="Q2" s="16"/>
      <c r="S2" s="17" t="s">
        <v>188</v>
      </c>
      <c r="T2" s="17"/>
      <c r="U2" s="16" t="s">
        <v>1</v>
      </c>
      <c r="V2" s="16"/>
      <c r="W2" s="16"/>
      <c r="Y2" s="17" t="s">
        <v>193</v>
      </c>
      <c r="Z2" s="17"/>
      <c r="AA2" s="16" t="s">
        <v>1</v>
      </c>
      <c r="AB2" s="16"/>
      <c r="AC2" s="16"/>
      <c r="AE2" s="17" t="s">
        <v>195</v>
      </c>
      <c r="AF2" s="17"/>
      <c r="AG2" s="16" t="s">
        <v>1</v>
      </c>
      <c r="AH2" s="16"/>
      <c r="AI2" s="16"/>
      <c r="AK2" s="17" t="s">
        <v>213</v>
      </c>
      <c r="AL2" s="17"/>
      <c r="AM2" s="16" t="s">
        <v>1</v>
      </c>
      <c r="AN2" s="16"/>
      <c r="AO2" s="16"/>
      <c r="AQ2" s="17" t="s">
        <v>235</v>
      </c>
      <c r="AR2" s="17"/>
      <c r="AS2" s="16" t="s">
        <v>1</v>
      </c>
      <c r="AT2" s="16"/>
      <c r="AU2" s="16"/>
      <c r="AW2" s="17" t="s">
        <v>237</v>
      </c>
      <c r="AX2" s="17"/>
      <c r="AY2" s="16" t="s">
        <v>1</v>
      </c>
      <c r="AZ2" s="16"/>
      <c r="BA2" s="16"/>
      <c r="BC2" s="17" t="s">
        <v>239</v>
      </c>
      <c r="BD2" s="17"/>
      <c r="BE2" s="16" t="s">
        <v>1</v>
      </c>
      <c r="BF2" s="16"/>
      <c r="BG2" s="16"/>
      <c r="BI2" s="17" t="s">
        <v>252</v>
      </c>
      <c r="BJ2" s="17"/>
      <c r="BK2" s="16" t="s">
        <v>1</v>
      </c>
      <c r="BL2" s="16"/>
      <c r="BM2" s="16"/>
      <c r="BO2" s="17" t="s">
        <v>255</v>
      </c>
      <c r="BP2" s="17"/>
      <c r="BQ2" s="16" t="s">
        <v>1</v>
      </c>
      <c r="BR2" s="16"/>
      <c r="BS2" s="16"/>
      <c r="BV2" s="17" t="s">
        <v>265</v>
      </c>
      <c r="BW2" s="17"/>
      <c r="BX2" s="16" t="s">
        <v>1</v>
      </c>
      <c r="BY2" s="16"/>
      <c r="BZ2" s="16"/>
    </row>
    <row r="3" spans="1:78" ht="15">
      <c r="A3" s="16" t="s">
        <v>150</v>
      </c>
      <c r="B3" s="16"/>
      <c r="C3" s="16" t="s">
        <v>3</v>
      </c>
      <c r="D3" s="18" t="s">
        <v>151</v>
      </c>
      <c r="E3" s="16"/>
      <c r="G3" s="16" t="s">
        <v>150</v>
      </c>
      <c r="H3" s="16"/>
      <c r="I3" s="16" t="s">
        <v>3</v>
      </c>
      <c r="J3" s="18">
        <v>71.926000000000002</v>
      </c>
      <c r="K3" s="16"/>
      <c r="M3" s="16" t="s">
        <v>150</v>
      </c>
      <c r="N3" s="16"/>
      <c r="O3" s="16" t="s">
        <v>3</v>
      </c>
      <c r="P3" s="22" t="s">
        <v>178</v>
      </c>
      <c r="Q3" s="16"/>
      <c r="S3" s="16" t="s">
        <v>150</v>
      </c>
      <c r="T3" s="16"/>
      <c r="U3" s="16" t="s">
        <v>3</v>
      </c>
      <c r="V3" s="18" t="s">
        <v>189</v>
      </c>
      <c r="W3" s="16"/>
      <c r="Y3" s="16" t="s">
        <v>150</v>
      </c>
      <c r="Z3" s="16"/>
      <c r="AA3" s="16" t="s">
        <v>3</v>
      </c>
      <c r="AB3" s="18" t="s">
        <v>189</v>
      </c>
      <c r="AC3" s="16"/>
      <c r="AE3" s="16" t="s">
        <v>150</v>
      </c>
      <c r="AF3" s="16"/>
      <c r="AG3" s="16" t="s">
        <v>3</v>
      </c>
      <c r="AH3" s="18" t="s">
        <v>196</v>
      </c>
      <c r="AI3" s="16"/>
      <c r="AK3" s="16" t="s">
        <v>150</v>
      </c>
      <c r="AL3" s="16"/>
      <c r="AM3" s="16" t="s">
        <v>3</v>
      </c>
      <c r="AN3" s="18" t="s">
        <v>214</v>
      </c>
      <c r="AO3" s="16"/>
      <c r="AQ3" s="16" t="s">
        <v>150</v>
      </c>
      <c r="AR3" s="16"/>
      <c r="AS3" s="16" t="s">
        <v>3</v>
      </c>
      <c r="AT3" s="18" t="s">
        <v>214</v>
      </c>
      <c r="AU3" s="16"/>
      <c r="AW3" s="16" t="s">
        <v>150</v>
      </c>
      <c r="AX3" s="16"/>
      <c r="AY3" s="16" t="s">
        <v>3</v>
      </c>
      <c r="AZ3" s="18" t="s">
        <v>214</v>
      </c>
      <c r="BA3" s="16"/>
      <c r="BC3" s="16" t="s">
        <v>150</v>
      </c>
      <c r="BD3" s="16"/>
      <c r="BE3" s="16" t="s">
        <v>3</v>
      </c>
      <c r="BF3" s="18" t="s">
        <v>240</v>
      </c>
      <c r="BG3" s="16"/>
      <c r="BI3" s="16" t="s">
        <v>150</v>
      </c>
      <c r="BJ3" s="16"/>
      <c r="BK3" s="16" t="s">
        <v>3</v>
      </c>
      <c r="BL3" s="18" t="s">
        <v>240</v>
      </c>
      <c r="BM3" s="16"/>
      <c r="BO3" s="16" t="s">
        <v>150</v>
      </c>
      <c r="BP3" s="16"/>
      <c r="BQ3" s="16" t="s">
        <v>3</v>
      </c>
      <c r="BR3" s="18" t="s">
        <v>256</v>
      </c>
      <c r="BS3" s="16"/>
      <c r="BV3" s="16" t="s">
        <v>150</v>
      </c>
      <c r="BW3" s="16"/>
      <c r="BX3" s="16" t="s">
        <v>3</v>
      </c>
      <c r="BY3" s="18" t="s">
        <v>256</v>
      </c>
      <c r="BZ3" s="16"/>
    </row>
    <row r="4" spans="1:78" ht="15">
      <c r="A4" s="16" t="s">
        <v>5</v>
      </c>
      <c r="B4" s="19"/>
      <c r="C4" s="16" t="s">
        <v>6</v>
      </c>
      <c r="D4" s="18" t="s">
        <v>152</v>
      </c>
      <c r="E4" s="16"/>
      <c r="G4" s="16" t="s">
        <v>5</v>
      </c>
      <c r="H4" s="19"/>
      <c r="I4" s="16" t="s">
        <v>6</v>
      </c>
      <c r="J4" s="18">
        <v>47.487000000000002</v>
      </c>
      <c r="K4" s="16"/>
      <c r="M4" s="16" t="s">
        <v>5</v>
      </c>
      <c r="N4" s="19"/>
      <c r="O4" s="16" t="s">
        <v>6</v>
      </c>
      <c r="P4" s="22" t="s">
        <v>179</v>
      </c>
      <c r="Q4" s="16"/>
      <c r="S4" s="16" t="s">
        <v>5</v>
      </c>
      <c r="T4" s="19"/>
      <c r="U4" s="16" t="s">
        <v>6</v>
      </c>
      <c r="V4" s="18" t="s">
        <v>190</v>
      </c>
      <c r="W4" s="16"/>
      <c r="Y4" s="16" t="s">
        <v>5</v>
      </c>
      <c r="Z4" s="19"/>
      <c r="AA4" s="16" t="s">
        <v>6</v>
      </c>
      <c r="AB4" s="18" t="s">
        <v>190</v>
      </c>
      <c r="AC4" s="16"/>
      <c r="AE4" s="16" t="s">
        <v>5</v>
      </c>
      <c r="AF4" s="19"/>
      <c r="AG4" s="16" t="s">
        <v>6</v>
      </c>
      <c r="AH4" s="18" t="s">
        <v>197</v>
      </c>
      <c r="AI4" s="16"/>
      <c r="AK4" s="16" t="s">
        <v>5</v>
      </c>
      <c r="AL4" s="19"/>
      <c r="AM4" s="16" t="s">
        <v>6</v>
      </c>
      <c r="AN4" s="18" t="s">
        <v>215</v>
      </c>
      <c r="AO4" s="16"/>
      <c r="AQ4" s="16" t="s">
        <v>5</v>
      </c>
      <c r="AR4" s="19"/>
      <c r="AS4" s="16" t="s">
        <v>6</v>
      </c>
      <c r="AT4" s="18" t="s">
        <v>215</v>
      </c>
      <c r="AU4" s="16"/>
      <c r="AW4" s="16" t="s">
        <v>5</v>
      </c>
      <c r="AX4" s="19"/>
      <c r="AY4" s="16" t="s">
        <v>6</v>
      </c>
      <c r="AZ4" s="18" t="s">
        <v>215</v>
      </c>
      <c r="BA4" s="16"/>
      <c r="BC4" s="16" t="s">
        <v>5</v>
      </c>
      <c r="BD4" s="19"/>
      <c r="BE4" s="16" t="s">
        <v>6</v>
      </c>
      <c r="BF4" s="18" t="s">
        <v>241</v>
      </c>
      <c r="BG4" s="16"/>
      <c r="BI4" s="16" t="s">
        <v>5</v>
      </c>
      <c r="BJ4" s="19"/>
      <c r="BK4" s="16" t="s">
        <v>6</v>
      </c>
      <c r="BL4" s="18" t="s">
        <v>241</v>
      </c>
      <c r="BM4" s="16"/>
      <c r="BO4" s="16" t="s">
        <v>5</v>
      </c>
      <c r="BP4" s="19"/>
      <c r="BQ4" s="16" t="s">
        <v>6</v>
      </c>
      <c r="BR4" s="18" t="s">
        <v>257</v>
      </c>
      <c r="BS4" s="16"/>
      <c r="BV4" s="16" t="s">
        <v>5</v>
      </c>
      <c r="BW4" s="19"/>
      <c r="BX4" s="16" t="s">
        <v>6</v>
      </c>
      <c r="BY4" s="18" t="s">
        <v>257</v>
      </c>
      <c r="BZ4" s="16"/>
    </row>
    <row r="5" spans="1:78" ht="15">
      <c r="A5" s="16" t="s">
        <v>8</v>
      </c>
      <c r="B5" s="20" t="s">
        <v>9</v>
      </c>
      <c r="C5" s="16" t="s">
        <v>10</v>
      </c>
      <c r="D5" s="18" t="s">
        <v>153</v>
      </c>
      <c r="E5" s="16"/>
      <c r="G5" s="16" t="s">
        <v>8</v>
      </c>
      <c r="H5" s="20" t="s">
        <v>9</v>
      </c>
      <c r="I5" s="16" t="s">
        <v>10</v>
      </c>
      <c r="J5" s="18" t="s">
        <v>169</v>
      </c>
      <c r="K5" s="16"/>
      <c r="M5" s="16" t="s">
        <v>8</v>
      </c>
      <c r="N5" s="20" t="s">
        <v>9</v>
      </c>
      <c r="O5" s="16" t="s">
        <v>10</v>
      </c>
      <c r="P5" s="18" t="s">
        <v>180</v>
      </c>
      <c r="Q5" s="16"/>
      <c r="S5" s="16" t="s">
        <v>8</v>
      </c>
      <c r="T5" s="20" t="s">
        <v>9</v>
      </c>
      <c r="U5" s="16" t="s">
        <v>10</v>
      </c>
      <c r="V5" s="18" t="s">
        <v>180</v>
      </c>
      <c r="W5" s="16"/>
      <c r="Y5" s="16" t="s">
        <v>8</v>
      </c>
      <c r="Z5" s="20" t="s">
        <v>9</v>
      </c>
      <c r="AA5" s="16" t="s">
        <v>10</v>
      </c>
      <c r="AB5" s="18" t="s">
        <v>180</v>
      </c>
      <c r="AC5" s="16"/>
      <c r="AE5" s="16" t="s">
        <v>8</v>
      </c>
      <c r="AF5" s="20" t="s">
        <v>9</v>
      </c>
      <c r="AG5" s="16" t="s">
        <v>10</v>
      </c>
      <c r="AH5" s="18" t="s">
        <v>198</v>
      </c>
      <c r="AI5" s="16"/>
      <c r="AK5" s="16" t="s">
        <v>8</v>
      </c>
      <c r="AL5" s="20" t="s">
        <v>9</v>
      </c>
      <c r="AM5" s="16" t="s">
        <v>10</v>
      </c>
      <c r="AN5" s="18" t="s">
        <v>216</v>
      </c>
      <c r="AO5" s="16"/>
      <c r="AQ5" s="16" t="s">
        <v>8</v>
      </c>
      <c r="AR5" s="20" t="s">
        <v>9</v>
      </c>
      <c r="AS5" s="16" t="s">
        <v>10</v>
      </c>
      <c r="AT5" s="18" t="s">
        <v>216</v>
      </c>
      <c r="AU5" s="16"/>
      <c r="AW5" s="16" t="s">
        <v>8</v>
      </c>
      <c r="AX5" s="20" t="s">
        <v>9</v>
      </c>
      <c r="AY5" s="16" t="s">
        <v>10</v>
      </c>
      <c r="AZ5" s="18" t="s">
        <v>216</v>
      </c>
      <c r="BA5" s="16"/>
      <c r="BC5" s="16" t="s">
        <v>8</v>
      </c>
      <c r="BD5" s="20" t="s">
        <v>9</v>
      </c>
      <c r="BE5" s="16" t="s">
        <v>10</v>
      </c>
      <c r="BF5" s="18" t="s">
        <v>242</v>
      </c>
      <c r="BG5" s="16"/>
      <c r="BI5" s="16" t="s">
        <v>8</v>
      </c>
      <c r="BJ5" s="20" t="s">
        <v>9</v>
      </c>
      <c r="BK5" s="16" t="s">
        <v>10</v>
      </c>
      <c r="BL5" s="18" t="s">
        <v>242</v>
      </c>
      <c r="BM5" s="16"/>
      <c r="BO5" s="16" t="s">
        <v>8</v>
      </c>
      <c r="BP5" s="20" t="s">
        <v>9</v>
      </c>
      <c r="BQ5" s="16" t="s">
        <v>10</v>
      </c>
      <c r="BR5" s="18" t="s">
        <v>258</v>
      </c>
      <c r="BS5" s="16"/>
      <c r="BV5" s="16" t="s">
        <v>8</v>
      </c>
      <c r="BW5" s="20" t="s">
        <v>9</v>
      </c>
      <c r="BX5" s="16" t="s">
        <v>10</v>
      </c>
      <c r="BY5" s="18" t="s">
        <v>258</v>
      </c>
      <c r="BZ5" s="16"/>
    </row>
    <row r="6" spans="1:78" ht="15">
      <c r="A6" s="16" t="s">
        <v>12</v>
      </c>
      <c r="B6" s="20" t="s">
        <v>13</v>
      </c>
      <c r="C6" s="16" t="s">
        <v>14</v>
      </c>
      <c r="D6" s="18" t="s">
        <v>154</v>
      </c>
      <c r="E6" s="16"/>
      <c r="G6" s="16" t="s">
        <v>12</v>
      </c>
      <c r="H6" s="20" t="s">
        <v>13</v>
      </c>
      <c r="I6" s="16" t="s">
        <v>14</v>
      </c>
      <c r="J6" s="18" t="s">
        <v>170</v>
      </c>
      <c r="K6" s="16"/>
      <c r="M6" s="16" t="s">
        <v>12</v>
      </c>
      <c r="N6" s="20" t="s">
        <v>13</v>
      </c>
      <c r="O6" s="16" t="s">
        <v>14</v>
      </c>
      <c r="P6" s="18" t="s">
        <v>181</v>
      </c>
      <c r="Q6" s="16"/>
      <c r="S6" s="16" t="s">
        <v>12</v>
      </c>
      <c r="T6" s="20" t="s">
        <v>13</v>
      </c>
      <c r="U6" s="16" t="s">
        <v>14</v>
      </c>
      <c r="V6" s="18" t="s">
        <v>191</v>
      </c>
      <c r="W6" s="16"/>
      <c r="Y6" s="16" t="s">
        <v>12</v>
      </c>
      <c r="Z6" s="20" t="s">
        <v>13</v>
      </c>
      <c r="AA6" s="16" t="s">
        <v>14</v>
      </c>
      <c r="AB6" s="18" t="s">
        <v>194</v>
      </c>
      <c r="AC6" s="16"/>
      <c r="AE6" s="16" t="s">
        <v>12</v>
      </c>
      <c r="AF6" s="20" t="s">
        <v>13</v>
      </c>
      <c r="AG6" s="16" t="s">
        <v>14</v>
      </c>
      <c r="AH6" s="18" t="s">
        <v>199</v>
      </c>
      <c r="AI6" s="16"/>
      <c r="AK6" s="16" t="s">
        <v>12</v>
      </c>
      <c r="AL6" s="20" t="s">
        <v>13</v>
      </c>
      <c r="AM6" s="16" t="s">
        <v>14</v>
      </c>
      <c r="AN6" s="18" t="s">
        <v>217</v>
      </c>
      <c r="AO6" s="16"/>
      <c r="AQ6" s="16" t="s">
        <v>12</v>
      </c>
      <c r="AR6" s="20" t="s">
        <v>13</v>
      </c>
      <c r="AS6" s="16" t="s">
        <v>14</v>
      </c>
      <c r="AT6" s="18" t="s">
        <v>236</v>
      </c>
      <c r="AU6" s="16"/>
      <c r="AW6" s="16" t="s">
        <v>12</v>
      </c>
      <c r="AX6" s="20" t="s">
        <v>13</v>
      </c>
      <c r="AY6" s="16" t="s">
        <v>14</v>
      </c>
      <c r="AZ6" s="18" t="s">
        <v>238</v>
      </c>
      <c r="BA6" s="16"/>
      <c r="BC6" s="16" t="s">
        <v>12</v>
      </c>
      <c r="BD6" s="20" t="s">
        <v>13</v>
      </c>
      <c r="BE6" s="16" t="s">
        <v>14</v>
      </c>
      <c r="BF6" s="18" t="s">
        <v>243</v>
      </c>
      <c r="BG6" s="16"/>
      <c r="BI6" s="16" t="s">
        <v>12</v>
      </c>
      <c r="BJ6" s="20" t="s">
        <v>13</v>
      </c>
      <c r="BK6" s="16" t="s">
        <v>14</v>
      </c>
      <c r="BL6" s="18" t="s">
        <v>253</v>
      </c>
      <c r="BM6" s="16"/>
      <c r="BO6" s="16" t="s">
        <v>12</v>
      </c>
      <c r="BP6" s="20" t="s">
        <v>13</v>
      </c>
      <c r="BQ6" s="16" t="s">
        <v>14</v>
      </c>
      <c r="BR6" s="18" t="s">
        <v>259</v>
      </c>
      <c r="BS6" s="16"/>
      <c r="BV6" s="16" t="s">
        <v>12</v>
      </c>
      <c r="BW6" s="20" t="s">
        <v>13</v>
      </c>
      <c r="BX6" s="16" t="s">
        <v>14</v>
      </c>
      <c r="BY6" s="18" t="s">
        <v>266</v>
      </c>
      <c r="BZ6" s="16"/>
    </row>
    <row r="7" spans="1:78" ht="15">
      <c r="A7" s="19">
        <v>0.25</v>
      </c>
      <c r="B7" s="21">
        <v>326.3</v>
      </c>
      <c r="C7" s="16" t="s">
        <v>155</v>
      </c>
      <c r="D7" s="16" t="s">
        <v>16</v>
      </c>
      <c r="E7" s="16"/>
      <c r="G7" s="19">
        <v>0.25</v>
      </c>
      <c r="H7" s="21">
        <v>326.3</v>
      </c>
      <c r="I7" s="16" t="s">
        <v>155</v>
      </c>
      <c r="J7" s="16" t="s">
        <v>16</v>
      </c>
      <c r="K7" s="16"/>
      <c r="M7" s="19"/>
      <c r="N7" s="21"/>
      <c r="O7" s="16"/>
      <c r="P7" s="16" t="s">
        <v>16</v>
      </c>
      <c r="Q7" s="16"/>
      <c r="S7" s="19">
        <v>0.40300000000000002</v>
      </c>
      <c r="T7" s="21">
        <v>325.52300000000002</v>
      </c>
      <c r="U7" s="16" t="s">
        <v>18</v>
      </c>
      <c r="V7" s="16" t="s">
        <v>16</v>
      </c>
      <c r="W7" s="16"/>
      <c r="Y7" s="16" t="s">
        <v>8</v>
      </c>
      <c r="Z7" s="20" t="s">
        <v>9</v>
      </c>
      <c r="AA7" s="16"/>
      <c r="AB7" s="16" t="s">
        <v>16</v>
      </c>
      <c r="AC7" s="16"/>
      <c r="AE7" s="16"/>
      <c r="AF7" s="16"/>
      <c r="AG7" s="16"/>
      <c r="AH7" s="16" t="s">
        <v>16</v>
      </c>
      <c r="AI7" s="16"/>
      <c r="AK7" s="16" t="s">
        <v>211</v>
      </c>
      <c r="AL7" s="16"/>
      <c r="AM7" s="16"/>
      <c r="AN7" s="16" t="s">
        <v>16</v>
      </c>
      <c r="AO7" s="16"/>
      <c r="AQ7" s="16" t="s">
        <v>211</v>
      </c>
      <c r="AR7" s="16"/>
      <c r="AS7" s="16"/>
      <c r="AT7" s="16" t="s">
        <v>16</v>
      </c>
      <c r="AU7" s="16"/>
      <c r="AW7" s="16" t="s">
        <v>211</v>
      </c>
      <c r="AX7" s="16"/>
      <c r="AY7" s="16"/>
      <c r="AZ7" s="16" t="s">
        <v>16</v>
      </c>
      <c r="BA7" s="16"/>
      <c r="BC7" s="16" t="s">
        <v>211</v>
      </c>
      <c r="BD7" s="16"/>
      <c r="BE7" s="16"/>
      <c r="BF7" s="16" t="s">
        <v>16</v>
      </c>
      <c r="BG7" s="16"/>
      <c r="BI7" s="16" t="s">
        <v>211</v>
      </c>
      <c r="BJ7" s="16"/>
      <c r="BK7" s="16"/>
      <c r="BL7" s="16" t="s">
        <v>16</v>
      </c>
      <c r="BM7" s="16"/>
      <c r="BO7" s="16" t="s">
        <v>211</v>
      </c>
      <c r="BP7" s="16"/>
      <c r="BQ7" s="16"/>
      <c r="BR7" s="16" t="s">
        <v>16</v>
      </c>
      <c r="BS7" s="16"/>
      <c r="BV7" s="16" t="s">
        <v>211</v>
      </c>
      <c r="BW7" s="16"/>
      <c r="BX7" s="16"/>
      <c r="BY7" s="16" t="s">
        <v>16</v>
      </c>
      <c r="BZ7" s="16"/>
    </row>
    <row r="8" spans="1:78" ht="15">
      <c r="A8" s="19">
        <v>0.75</v>
      </c>
      <c r="B8" s="21">
        <v>367.9</v>
      </c>
      <c r="C8" s="16" t="s">
        <v>155</v>
      </c>
      <c r="D8" s="16" t="s">
        <v>17</v>
      </c>
      <c r="E8" s="16"/>
      <c r="G8" s="19">
        <v>0.75</v>
      </c>
      <c r="H8" s="21">
        <v>367.9</v>
      </c>
      <c r="I8" s="16" t="s">
        <v>155</v>
      </c>
      <c r="J8" s="16" t="s">
        <v>17</v>
      </c>
      <c r="K8" s="16"/>
      <c r="M8" s="19">
        <v>0.25</v>
      </c>
      <c r="N8" s="21">
        <v>326.3</v>
      </c>
      <c r="O8" s="16" t="s">
        <v>155</v>
      </c>
      <c r="P8" s="16" t="s">
        <v>17</v>
      </c>
      <c r="Q8" s="16"/>
      <c r="S8" s="19">
        <v>1.26</v>
      </c>
      <c r="T8" s="21">
        <v>391.14600000000002</v>
      </c>
      <c r="U8" s="16" t="s">
        <v>18</v>
      </c>
      <c r="V8" s="16" t="s">
        <v>17</v>
      </c>
      <c r="W8" s="16"/>
      <c r="Y8" s="16" t="s">
        <v>12</v>
      </c>
      <c r="Z8" s="20" t="s">
        <v>13</v>
      </c>
      <c r="AA8" s="16"/>
      <c r="AB8" s="16" t="s">
        <v>17</v>
      </c>
      <c r="AC8" s="16"/>
      <c r="AE8" s="16"/>
      <c r="AF8" s="16"/>
      <c r="AG8" s="16"/>
      <c r="AH8" s="16" t="s">
        <v>17</v>
      </c>
      <c r="AI8" s="16"/>
      <c r="AK8" s="16"/>
      <c r="AL8" s="21"/>
      <c r="AM8" s="16"/>
      <c r="AN8" s="16" t="s">
        <v>17</v>
      </c>
      <c r="AO8" s="16"/>
      <c r="AQ8" s="16"/>
      <c r="AR8" s="21"/>
      <c r="AS8" s="16"/>
      <c r="AT8" s="16" t="s">
        <v>17</v>
      </c>
      <c r="AU8" s="16"/>
      <c r="AW8" s="16"/>
      <c r="AX8" s="21"/>
      <c r="AY8" s="16"/>
      <c r="AZ8" s="16" t="s">
        <v>17</v>
      </c>
      <c r="BA8" s="16"/>
      <c r="BC8" s="16"/>
      <c r="BD8" s="21"/>
      <c r="BE8" s="16"/>
      <c r="BF8" s="16" t="s">
        <v>17</v>
      </c>
      <c r="BG8" s="16"/>
      <c r="BI8" s="16"/>
      <c r="BJ8" s="21"/>
      <c r="BK8" s="16"/>
      <c r="BL8" s="16" t="s">
        <v>17</v>
      </c>
      <c r="BM8" s="16"/>
      <c r="BO8" s="16"/>
      <c r="BP8" s="21"/>
      <c r="BQ8" s="16"/>
      <c r="BR8" s="16" t="s">
        <v>17</v>
      </c>
      <c r="BS8" s="16"/>
      <c r="BV8" s="16"/>
      <c r="BW8" s="21"/>
      <c r="BX8" s="16"/>
      <c r="BY8" s="16" t="s">
        <v>17</v>
      </c>
      <c r="BZ8" s="16"/>
    </row>
    <row r="9" spans="1:78" ht="15">
      <c r="A9" s="19">
        <v>1.25</v>
      </c>
      <c r="B9" s="21">
        <v>365.2</v>
      </c>
      <c r="C9" s="16" t="s">
        <v>155</v>
      </c>
      <c r="D9" s="16"/>
      <c r="E9" s="16"/>
      <c r="G9" s="19">
        <v>1.25</v>
      </c>
      <c r="H9" s="21">
        <v>365.2</v>
      </c>
      <c r="I9" s="16" t="s">
        <v>155</v>
      </c>
      <c r="J9" s="16" t="s">
        <v>171</v>
      </c>
      <c r="K9" s="16"/>
      <c r="M9" s="19">
        <v>0.75</v>
      </c>
      <c r="N9" s="21">
        <v>367.9</v>
      </c>
      <c r="O9" s="16" t="s">
        <v>155</v>
      </c>
      <c r="P9" s="16" t="s">
        <v>182</v>
      </c>
      <c r="Q9" s="16"/>
      <c r="S9" s="19">
        <v>2.2749999999999999</v>
      </c>
      <c r="T9" s="21">
        <v>396.952</v>
      </c>
      <c r="U9" s="16" t="s">
        <v>18</v>
      </c>
      <c r="V9" s="16" t="s">
        <v>182</v>
      </c>
      <c r="W9" s="16"/>
      <c r="Y9" s="19">
        <v>0.40300000000000002</v>
      </c>
      <c r="Z9" s="21">
        <v>325.52300000000002</v>
      </c>
      <c r="AA9" s="16" t="s">
        <v>18</v>
      </c>
      <c r="AB9" s="16" t="s">
        <v>182</v>
      </c>
      <c r="AC9" s="16"/>
      <c r="AE9" s="19">
        <v>0.49</v>
      </c>
      <c r="AF9" s="21">
        <v>379.51</v>
      </c>
      <c r="AG9" s="16" t="s">
        <v>200</v>
      </c>
      <c r="AH9" s="16" t="s">
        <v>201</v>
      </c>
      <c r="AI9" s="16"/>
      <c r="AK9" s="19">
        <v>0.49299999999999999</v>
      </c>
      <c r="AL9" s="21">
        <v>318.44</v>
      </c>
      <c r="AM9" s="16" t="s">
        <v>218</v>
      </c>
      <c r="AN9" s="16" t="s">
        <v>201</v>
      </c>
      <c r="AO9" s="16"/>
      <c r="AQ9" s="19">
        <v>0.49299999999999999</v>
      </c>
      <c r="AR9" s="21">
        <v>318.44</v>
      </c>
      <c r="AS9" s="16" t="s">
        <v>218</v>
      </c>
      <c r="AT9" s="16" t="s">
        <v>201</v>
      </c>
      <c r="AU9" s="16"/>
      <c r="AW9" s="19">
        <v>0.49299999999999999</v>
      </c>
      <c r="AX9" s="21">
        <v>318.44</v>
      </c>
      <c r="AY9" s="16" t="s">
        <v>218</v>
      </c>
      <c r="AZ9" s="16" t="s">
        <v>201</v>
      </c>
      <c r="BA9" s="16"/>
      <c r="BC9" s="19">
        <v>0.54</v>
      </c>
      <c r="BD9" s="21">
        <v>336.55</v>
      </c>
      <c r="BE9" s="16" t="s">
        <v>244</v>
      </c>
      <c r="BF9" s="16" t="s">
        <v>201</v>
      </c>
      <c r="BG9" s="16"/>
      <c r="BI9" s="19">
        <v>0.54</v>
      </c>
      <c r="BJ9" s="21">
        <v>336.55</v>
      </c>
      <c r="BK9" s="16" t="s">
        <v>244</v>
      </c>
      <c r="BL9" s="16" t="s">
        <v>201</v>
      </c>
      <c r="BM9" s="16"/>
      <c r="BO9" s="19">
        <v>2.0830000000000002</v>
      </c>
      <c r="BP9" s="21">
        <v>352.44</v>
      </c>
      <c r="BQ9" s="16" t="s">
        <v>230</v>
      </c>
      <c r="BR9" s="16" t="s">
        <v>201</v>
      </c>
      <c r="BS9" s="16"/>
      <c r="BV9" s="19">
        <v>2.0830000000000002</v>
      </c>
      <c r="BW9" s="21">
        <v>352.44</v>
      </c>
      <c r="BX9" s="16" t="s">
        <v>230</v>
      </c>
      <c r="BY9" s="16" t="s">
        <v>201</v>
      </c>
      <c r="BZ9" s="16"/>
    </row>
    <row r="10" spans="1:78" ht="15">
      <c r="A10" s="19">
        <v>1.75</v>
      </c>
      <c r="B10" s="21">
        <v>442.7</v>
      </c>
      <c r="C10" s="16" t="s">
        <v>155</v>
      </c>
      <c r="D10" s="16" t="s">
        <v>156</v>
      </c>
      <c r="E10" s="16"/>
      <c r="G10" s="19">
        <v>1.75</v>
      </c>
      <c r="H10" s="21">
        <v>442.7</v>
      </c>
      <c r="I10" s="16" t="s">
        <v>155</v>
      </c>
      <c r="J10" s="16" t="s">
        <v>172</v>
      </c>
      <c r="K10" s="16"/>
      <c r="M10" s="19">
        <v>1.25</v>
      </c>
      <c r="N10" s="21">
        <v>365.2</v>
      </c>
      <c r="O10" s="16" t="s">
        <v>155</v>
      </c>
      <c r="P10" s="16" t="s">
        <v>183</v>
      </c>
      <c r="Q10" s="16"/>
      <c r="S10" s="19">
        <v>3.4750000000000001</v>
      </c>
      <c r="T10" s="21">
        <v>416.51</v>
      </c>
      <c r="U10" s="16" t="s">
        <v>18</v>
      </c>
      <c r="V10" s="16" t="s">
        <v>183</v>
      </c>
      <c r="W10" s="16"/>
      <c r="Y10" s="19">
        <v>1.26</v>
      </c>
      <c r="Z10" s="21">
        <v>391.14600000000002</v>
      </c>
      <c r="AA10" s="16" t="s">
        <v>18</v>
      </c>
      <c r="AB10" s="16" t="s">
        <v>183</v>
      </c>
      <c r="AC10" s="16"/>
      <c r="AE10" s="19">
        <v>1.35</v>
      </c>
      <c r="AF10" s="21">
        <v>448.73</v>
      </c>
      <c r="AG10" s="16" t="s">
        <v>202</v>
      </c>
      <c r="AH10" s="16" t="s">
        <v>203</v>
      </c>
      <c r="AI10" s="16"/>
      <c r="AK10" s="19">
        <v>1.343</v>
      </c>
      <c r="AL10" s="21">
        <v>317.39999999999998</v>
      </c>
      <c r="AM10" s="16" t="s">
        <v>219</v>
      </c>
      <c r="AN10" s="16" t="s">
        <v>203</v>
      </c>
      <c r="AO10" s="16"/>
      <c r="AQ10" s="19">
        <v>1.343</v>
      </c>
      <c r="AR10" s="21">
        <v>317.39999999999998</v>
      </c>
      <c r="AS10" s="16" t="s">
        <v>219</v>
      </c>
      <c r="AT10" s="16" t="s">
        <v>203</v>
      </c>
      <c r="AU10" s="16"/>
      <c r="AW10" s="19">
        <v>1.343</v>
      </c>
      <c r="AX10" s="21">
        <v>317.39999999999998</v>
      </c>
      <c r="AY10" s="16" t="s">
        <v>219</v>
      </c>
      <c r="AZ10" s="16" t="s">
        <v>203</v>
      </c>
      <c r="BA10" s="16"/>
      <c r="BC10" s="19">
        <v>1.46</v>
      </c>
      <c r="BD10" s="21">
        <v>354.5</v>
      </c>
      <c r="BE10" s="16" t="s">
        <v>200</v>
      </c>
      <c r="BF10" s="16" t="s">
        <v>203</v>
      </c>
      <c r="BG10" s="16"/>
      <c r="BI10" s="19">
        <v>1.46</v>
      </c>
      <c r="BJ10" s="21">
        <v>354.5</v>
      </c>
      <c r="BK10" s="16" t="s">
        <v>200</v>
      </c>
      <c r="BL10" s="16" t="s">
        <v>203</v>
      </c>
      <c r="BM10" s="16"/>
      <c r="BO10" s="19">
        <v>3.07</v>
      </c>
      <c r="BP10" s="21">
        <v>373.59</v>
      </c>
      <c r="BQ10" s="16" t="s">
        <v>231</v>
      </c>
      <c r="BR10" s="16" t="s">
        <v>203</v>
      </c>
      <c r="BS10" s="16"/>
      <c r="BV10" s="19">
        <v>3.07</v>
      </c>
      <c r="BW10" s="21">
        <v>373.59</v>
      </c>
      <c r="BX10" s="16" t="s">
        <v>231</v>
      </c>
      <c r="BY10" s="16" t="s">
        <v>203</v>
      </c>
      <c r="BZ10" s="16"/>
    </row>
    <row r="11" spans="1:78" ht="15">
      <c r="A11" s="19">
        <v>0.47249999999999998</v>
      </c>
      <c r="B11" s="21">
        <v>375.73700000000002</v>
      </c>
      <c r="C11" s="16" t="s">
        <v>18</v>
      </c>
      <c r="D11" s="16" t="s">
        <v>157</v>
      </c>
      <c r="E11" s="16"/>
      <c r="G11" s="19">
        <v>3.218</v>
      </c>
      <c r="H11" s="21">
        <v>413.06599999999997</v>
      </c>
      <c r="I11" s="16" t="s">
        <v>18</v>
      </c>
      <c r="J11" s="16" t="s">
        <v>173</v>
      </c>
      <c r="K11" s="16"/>
      <c r="M11" s="19">
        <v>1.75</v>
      </c>
      <c r="N11" s="21">
        <v>442.7</v>
      </c>
      <c r="O11" s="16" t="s">
        <v>155</v>
      </c>
      <c r="P11" s="16" t="s">
        <v>184</v>
      </c>
      <c r="Q11" s="16"/>
      <c r="S11" s="19">
        <v>4.625</v>
      </c>
      <c r="T11" s="21">
        <v>438.298</v>
      </c>
      <c r="U11" s="16" t="s">
        <v>18</v>
      </c>
      <c r="V11" s="16" t="s">
        <v>184</v>
      </c>
      <c r="W11" s="16"/>
      <c r="Y11" s="19">
        <v>2.2749999999999999</v>
      </c>
      <c r="Z11" s="21">
        <v>396.952</v>
      </c>
      <c r="AA11" s="16" t="s">
        <v>18</v>
      </c>
      <c r="AB11" s="16" t="s">
        <v>184</v>
      </c>
      <c r="AC11" s="16"/>
      <c r="AE11" s="19">
        <v>2.0699999999999998</v>
      </c>
      <c r="AF11" s="21">
        <v>470.12</v>
      </c>
      <c r="AG11" s="16"/>
      <c r="AH11" s="16" t="s">
        <v>204</v>
      </c>
      <c r="AI11" s="16"/>
      <c r="AK11" s="19">
        <v>2.15</v>
      </c>
      <c r="AL11" s="21">
        <v>422.26</v>
      </c>
      <c r="AM11" s="16" t="s">
        <v>220</v>
      </c>
      <c r="AN11" s="16" t="s">
        <v>221</v>
      </c>
      <c r="AO11" s="16"/>
      <c r="AQ11" s="19">
        <v>2.15</v>
      </c>
      <c r="AR11" s="21">
        <v>422.26</v>
      </c>
      <c r="AS11" s="16" t="s">
        <v>220</v>
      </c>
      <c r="AT11" s="16" t="s">
        <v>221</v>
      </c>
      <c r="AU11" s="16"/>
      <c r="AW11" s="19">
        <v>2.15</v>
      </c>
      <c r="AX11" s="21">
        <v>422.26</v>
      </c>
      <c r="AY11" s="16" t="s">
        <v>220</v>
      </c>
      <c r="AZ11" s="16" t="s">
        <v>221</v>
      </c>
      <c r="BA11" s="16"/>
      <c r="BC11" s="19">
        <v>2.3479999999999999</v>
      </c>
      <c r="BD11" s="21">
        <v>419.1</v>
      </c>
      <c r="BE11" s="16" t="s">
        <v>245</v>
      </c>
      <c r="BF11" s="16" t="s">
        <v>204</v>
      </c>
      <c r="BG11" s="16"/>
      <c r="BI11" s="19">
        <v>2.3479999999999999</v>
      </c>
      <c r="BJ11" s="21">
        <v>419.1</v>
      </c>
      <c r="BK11" s="16" t="s">
        <v>245</v>
      </c>
      <c r="BL11" s="16" t="s">
        <v>204</v>
      </c>
      <c r="BM11" s="16"/>
      <c r="BO11" s="19">
        <v>3.99</v>
      </c>
      <c r="BP11" s="21">
        <v>418.77</v>
      </c>
      <c r="BQ11" s="16" t="s">
        <v>219</v>
      </c>
      <c r="BR11" s="16" t="s">
        <v>204</v>
      </c>
      <c r="BS11" s="16"/>
      <c r="BV11" s="19">
        <v>3.99</v>
      </c>
      <c r="BW11" s="21">
        <v>418.77</v>
      </c>
      <c r="BX11" s="16" t="s">
        <v>219</v>
      </c>
      <c r="BY11" s="16" t="s">
        <v>204</v>
      </c>
      <c r="BZ11" s="16"/>
    </row>
    <row r="12" spans="1:78" ht="15">
      <c r="A12" s="19">
        <v>1.2675000000000001</v>
      </c>
      <c r="B12" s="21">
        <v>351.065</v>
      </c>
      <c r="C12" s="16" t="s">
        <v>158</v>
      </c>
      <c r="D12" s="16" t="s">
        <v>159</v>
      </c>
      <c r="E12" s="16"/>
      <c r="G12" s="19">
        <v>4.3600000000000003</v>
      </c>
      <c r="H12" s="21">
        <v>438.49099999999999</v>
      </c>
      <c r="I12" s="16" t="s">
        <v>18</v>
      </c>
      <c r="J12" s="16" t="s">
        <v>174</v>
      </c>
      <c r="K12" s="16"/>
      <c r="M12" s="19">
        <v>2.415</v>
      </c>
      <c r="N12" s="21">
        <v>392.8</v>
      </c>
      <c r="O12" s="16" t="s">
        <v>18</v>
      </c>
      <c r="P12" s="16" t="s">
        <v>185</v>
      </c>
      <c r="Q12" s="16"/>
      <c r="S12" s="19">
        <v>5.75</v>
      </c>
      <c r="T12" s="21">
        <v>461.733</v>
      </c>
      <c r="U12" s="16" t="s">
        <v>18</v>
      </c>
      <c r="V12" s="16" t="s">
        <v>185</v>
      </c>
      <c r="W12" s="16"/>
      <c r="Y12" s="19">
        <v>3.4750000000000001</v>
      </c>
      <c r="Z12" s="21">
        <v>416.51</v>
      </c>
      <c r="AA12" s="16" t="s">
        <v>18</v>
      </c>
      <c r="AB12" s="16" t="s">
        <v>185</v>
      </c>
      <c r="AC12" s="16"/>
      <c r="AE12" s="19">
        <v>2.8650000000000002</v>
      </c>
      <c r="AF12" s="21">
        <v>421.45</v>
      </c>
      <c r="AG12" s="16"/>
      <c r="AH12" s="16"/>
      <c r="AI12" s="16"/>
      <c r="AK12" s="19">
        <v>3.0880000000000001</v>
      </c>
      <c r="AL12" s="21">
        <v>394.03</v>
      </c>
      <c r="AM12" s="16" t="s">
        <v>222</v>
      </c>
      <c r="AN12" s="16"/>
      <c r="AO12" s="16"/>
      <c r="AQ12" s="19">
        <v>3.0880000000000001</v>
      </c>
      <c r="AR12" s="21">
        <v>394.03</v>
      </c>
      <c r="AS12" s="16" t="s">
        <v>222</v>
      </c>
      <c r="AT12" s="16"/>
      <c r="AU12" s="16"/>
      <c r="AW12" s="19">
        <v>3.0880000000000001</v>
      </c>
      <c r="AX12" s="21">
        <v>394.03</v>
      </c>
      <c r="AY12" s="16" t="s">
        <v>222</v>
      </c>
      <c r="AZ12" s="16"/>
      <c r="BA12" s="16"/>
      <c r="BC12" s="19">
        <v>3.3530000000000002</v>
      </c>
      <c r="BD12" s="21">
        <v>440.82</v>
      </c>
      <c r="BE12" s="16"/>
      <c r="BF12" s="16"/>
      <c r="BG12" s="16"/>
      <c r="BI12" s="19">
        <v>3.3530000000000002</v>
      </c>
      <c r="BJ12" s="21">
        <v>440.82</v>
      </c>
      <c r="BK12" s="16" t="s">
        <v>219</v>
      </c>
      <c r="BL12" s="16"/>
      <c r="BM12" s="16"/>
      <c r="BO12" s="19">
        <v>4.9649999999999999</v>
      </c>
      <c r="BP12" s="21">
        <v>455.23</v>
      </c>
      <c r="BQ12" s="16"/>
      <c r="BR12" s="16"/>
      <c r="BS12" s="16"/>
      <c r="BV12" s="19">
        <v>4.9649999999999999</v>
      </c>
      <c r="BW12" s="21">
        <v>455.23</v>
      </c>
      <c r="BX12" s="16"/>
      <c r="BY12" s="16"/>
      <c r="BZ12" s="16"/>
    </row>
    <row r="13" spans="1:78" ht="15">
      <c r="A13" s="19">
        <v>2.1825000000000001</v>
      </c>
      <c r="B13" s="21">
        <v>452.33600000000001</v>
      </c>
      <c r="C13" s="16" t="s">
        <v>160</v>
      </c>
      <c r="D13" s="16" t="s">
        <v>161</v>
      </c>
      <c r="E13" s="16"/>
      <c r="G13" s="19">
        <v>5.42</v>
      </c>
      <c r="H13" s="21">
        <v>480.54500000000002</v>
      </c>
      <c r="I13" s="16" t="s">
        <v>18</v>
      </c>
      <c r="J13" s="16" t="s">
        <v>175</v>
      </c>
      <c r="K13" s="16"/>
      <c r="M13" s="19">
        <v>3.5550000000000002</v>
      </c>
      <c r="N13" s="21">
        <v>415.91</v>
      </c>
      <c r="O13" s="16" t="s">
        <v>18</v>
      </c>
      <c r="P13" s="16" t="s">
        <v>186</v>
      </c>
      <c r="Q13" s="16"/>
      <c r="S13" s="19">
        <v>6.78</v>
      </c>
      <c r="T13" s="21">
        <v>479.24700000000001</v>
      </c>
      <c r="U13" s="16" t="s">
        <v>18</v>
      </c>
      <c r="V13" s="16" t="s">
        <v>186</v>
      </c>
      <c r="W13" s="16"/>
      <c r="Y13" s="19">
        <v>4.625</v>
      </c>
      <c r="Z13" s="21">
        <v>438.298</v>
      </c>
      <c r="AA13" s="16" t="s">
        <v>18</v>
      </c>
      <c r="AB13" s="16" t="s">
        <v>186</v>
      </c>
      <c r="AC13" s="16"/>
      <c r="AE13" s="19">
        <v>3.99</v>
      </c>
      <c r="AF13" s="21">
        <v>482.6</v>
      </c>
      <c r="AG13" s="16"/>
      <c r="AH13" s="16" t="s">
        <v>205</v>
      </c>
      <c r="AI13" s="16"/>
      <c r="AK13" s="19">
        <v>4.0999999999999996</v>
      </c>
      <c r="AL13" s="21">
        <v>455.16</v>
      </c>
      <c r="AM13" s="16"/>
      <c r="AN13" s="16" t="s">
        <v>223</v>
      </c>
      <c r="AO13" s="16"/>
      <c r="AQ13" s="19">
        <v>4.0999999999999996</v>
      </c>
      <c r="AR13" s="21">
        <v>455.16</v>
      </c>
      <c r="AS13" s="16"/>
      <c r="AT13" s="16" t="s">
        <v>223</v>
      </c>
      <c r="AU13" s="16"/>
      <c r="AW13" s="19">
        <v>4.0999999999999996</v>
      </c>
      <c r="AX13" s="21">
        <v>455.16</v>
      </c>
      <c r="AY13" s="16"/>
      <c r="AZ13" s="16" t="s">
        <v>223</v>
      </c>
      <c r="BA13" s="16"/>
      <c r="BC13" s="19">
        <v>4.375</v>
      </c>
      <c r="BD13" s="21">
        <v>434.21</v>
      </c>
      <c r="BE13" s="16"/>
      <c r="BF13" s="16" t="s">
        <v>246</v>
      </c>
      <c r="BG13" s="16"/>
      <c r="BI13" s="19">
        <v>4.375</v>
      </c>
      <c r="BJ13" s="21">
        <v>434.21</v>
      </c>
      <c r="BK13" s="16"/>
      <c r="BL13" s="16" t="s">
        <v>246</v>
      </c>
      <c r="BM13" s="16"/>
      <c r="BO13" s="19">
        <v>6.0279999999999996</v>
      </c>
      <c r="BP13" s="21">
        <v>452.64</v>
      </c>
      <c r="BQ13" s="16"/>
      <c r="BR13" s="16" t="s">
        <v>260</v>
      </c>
      <c r="BS13" s="16"/>
      <c r="BV13" s="19">
        <v>6.0279999999999996</v>
      </c>
      <c r="BW13" s="21">
        <v>452.64</v>
      </c>
      <c r="BX13" s="16"/>
      <c r="BY13" s="16" t="s">
        <v>260</v>
      </c>
      <c r="BZ13" s="16"/>
    </row>
    <row r="14" spans="1:78" ht="15">
      <c r="A14" s="19">
        <v>3.41</v>
      </c>
      <c r="B14" s="21">
        <v>422.75799999999998</v>
      </c>
      <c r="C14" s="16"/>
      <c r="D14" s="16" t="s">
        <v>162</v>
      </c>
      <c r="E14" s="16"/>
      <c r="G14" s="19">
        <v>6.548</v>
      </c>
      <c r="H14" s="21">
        <v>498.488</v>
      </c>
      <c r="I14" s="16" t="s">
        <v>18</v>
      </c>
      <c r="J14" s="16" t="s">
        <v>176</v>
      </c>
      <c r="K14" s="16"/>
      <c r="M14" s="19">
        <v>4.5425000000000004</v>
      </c>
      <c r="N14" s="21">
        <v>466.55700000000002</v>
      </c>
      <c r="O14" s="16" t="s">
        <v>18</v>
      </c>
      <c r="P14" s="16" t="s">
        <v>187</v>
      </c>
      <c r="Q14" s="16"/>
      <c r="S14" s="19">
        <v>7.7549999999999999</v>
      </c>
      <c r="T14" s="21">
        <v>488.94799999999998</v>
      </c>
      <c r="U14" s="16" t="s">
        <v>18</v>
      </c>
      <c r="V14" s="16" t="s">
        <v>187</v>
      </c>
      <c r="W14" s="16"/>
      <c r="Y14" s="19">
        <v>5.75</v>
      </c>
      <c r="Z14" s="21">
        <v>461.733</v>
      </c>
      <c r="AA14" s="16" t="s">
        <v>18</v>
      </c>
      <c r="AB14" s="16" t="s">
        <v>187</v>
      </c>
      <c r="AC14" s="16"/>
      <c r="AE14" s="19">
        <v>4.8899999999999997</v>
      </c>
      <c r="AF14" s="21">
        <v>513.57000000000005</v>
      </c>
      <c r="AG14" s="16"/>
      <c r="AH14" s="16" t="s">
        <v>206</v>
      </c>
      <c r="AI14" s="16"/>
      <c r="AK14" s="19">
        <v>5.15</v>
      </c>
      <c r="AL14" s="21">
        <v>477.65</v>
      </c>
      <c r="AM14" s="16"/>
      <c r="AN14" s="16" t="s">
        <v>224</v>
      </c>
      <c r="AO14" s="16"/>
      <c r="AQ14" s="19">
        <v>5.15</v>
      </c>
      <c r="AR14" s="21">
        <v>477.65</v>
      </c>
      <c r="AS14" s="16"/>
      <c r="AT14" s="16" t="s">
        <v>224</v>
      </c>
      <c r="AU14" s="16"/>
      <c r="AW14" s="19">
        <v>5.15</v>
      </c>
      <c r="AX14" s="21">
        <v>477.65</v>
      </c>
      <c r="AY14" s="16"/>
      <c r="AZ14" s="16" t="s">
        <v>224</v>
      </c>
      <c r="BA14" s="16"/>
      <c r="BC14" s="19">
        <v>5.4050000000000002</v>
      </c>
      <c r="BD14" s="21">
        <v>475.88</v>
      </c>
      <c r="BE14" s="16"/>
      <c r="BF14" s="16" t="s">
        <v>247</v>
      </c>
      <c r="BG14" s="16"/>
      <c r="BI14" s="19">
        <v>5.4050000000000002</v>
      </c>
      <c r="BJ14" s="21">
        <v>475.88</v>
      </c>
      <c r="BK14" s="16"/>
      <c r="BL14" s="16" t="s">
        <v>247</v>
      </c>
      <c r="BM14" s="16"/>
      <c r="BO14" s="19">
        <v>7.0449999999999999</v>
      </c>
      <c r="BP14" s="21">
        <v>467.95</v>
      </c>
      <c r="BQ14" s="16"/>
      <c r="BR14" s="16" t="s">
        <v>261</v>
      </c>
      <c r="BS14" s="16"/>
      <c r="BV14" s="19">
        <v>7.0449999999999999</v>
      </c>
      <c r="BW14" s="21">
        <v>467.95</v>
      </c>
      <c r="BX14" s="16"/>
      <c r="BY14" s="16" t="s">
        <v>261</v>
      </c>
      <c r="BZ14" s="16"/>
    </row>
    <row r="15" spans="1:78" ht="15">
      <c r="A15" s="19">
        <v>4.5774999999999997</v>
      </c>
      <c r="B15" s="21">
        <v>436.98</v>
      </c>
      <c r="C15" s="16"/>
      <c r="D15" s="16"/>
      <c r="E15" s="16"/>
      <c r="G15" s="19">
        <v>7.5549999999999997</v>
      </c>
      <c r="H15" s="21">
        <v>496.13600000000002</v>
      </c>
      <c r="I15" s="16" t="s">
        <v>18</v>
      </c>
      <c r="J15" s="16"/>
      <c r="K15" s="16"/>
      <c r="M15" s="19">
        <v>5.5475000000000003</v>
      </c>
      <c r="N15" s="21">
        <v>451.392</v>
      </c>
      <c r="O15" s="16" t="s">
        <v>18</v>
      </c>
      <c r="P15" s="16"/>
      <c r="Q15" s="16"/>
      <c r="S15" s="19">
        <v>8.77</v>
      </c>
      <c r="T15" s="21">
        <v>505.70400000000001</v>
      </c>
      <c r="U15" s="16" t="s">
        <v>18</v>
      </c>
      <c r="V15" s="16"/>
      <c r="W15" s="16"/>
      <c r="Y15" s="19">
        <v>6.78</v>
      </c>
      <c r="Z15" s="21">
        <v>479.24700000000001</v>
      </c>
      <c r="AA15" s="16" t="s">
        <v>18</v>
      </c>
      <c r="AB15" s="16"/>
      <c r="AC15" s="16"/>
      <c r="AE15" s="19">
        <v>5.4</v>
      </c>
      <c r="AF15" s="21">
        <v>551.1</v>
      </c>
      <c r="AG15" s="16"/>
      <c r="AH15" s="16" t="s">
        <v>207</v>
      </c>
      <c r="AI15" s="16"/>
      <c r="AK15" s="19">
        <v>6.2130000000000001</v>
      </c>
      <c r="AL15" s="21">
        <v>506.69</v>
      </c>
      <c r="AM15" s="16"/>
      <c r="AN15" s="16" t="s">
        <v>225</v>
      </c>
      <c r="AO15" s="16"/>
      <c r="AQ15" s="19">
        <v>6.2130000000000001</v>
      </c>
      <c r="AR15" s="21">
        <v>506.69</v>
      </c>
      <c r="AS15" s="16"/>
      <c r="AT15" s="16" t="s">
        <v>225</v>
      </c>
      <c r="AU15" s="16"/>
      <c r="AW15" s="19">
        <v>6.2130000000000001</v>
      </c>
      <c r="AX15" s="21">
        <v>506.69</v>
      </c>
      <c r="AY15" s="16"/>
      <c r="AZ15" s="16" t="s">
        <v>225</v>
      </c>
      <c r="BA15" s="16"/>
      <c r="BC15" s="19">
        <v>6.415</v>
      </c>
      <c r="BD15" s="21">
        <v>475.14</v>
      </c>
      <c r="BE15" s="16"/>
      <c r="BF15" s="16" t="s">
        <v>248</v>
      </c>
      <c r="BG15" s="16"/>
      <c r="BI15" s="19">
        <v>6.415</v>
      </c>
      <c r="BJ15" s="21">
        <v>475.14</v>
      </c>
      <c r="BK15" s="16"/>
      <c r="BL15" s="16" t="s">
        <v>248</v>
      </c>
      <c r="BM15" s="16"/>
      <c r="BO15" s="19">
        <v>7.9480000000000004</v>
      </c>
      <c r="BP15" s="21">
        <v>484.88</v>
      </c>
      <c r="BQ15" s="16"/>
      <c r="BR15" s="16" t="s">
        <v>262</v>
      </c>
      <c r="BS15" s="16"/>
      <c r="BV15" s="19">
        <v>7.9480000000000004</v>
      </c>
      <c r="BW15" s="21">
        <v>484.88</v>
      </c>
      <c r="BX15" s="16"/>
      <c r="BY15" s="16" t="s">
        <v>262</v>
      </c>
      <c r="BZ15" s="16"/>
    </row>
    <row r="16" spans="1:78" ht="15">
      <c r="A16" s="19">
        <v>5.5449999999999999</v>
      </c>
      <c r="B16" s="21">
        <v>494.69200000000001</v>
      </c>
      <c r="C16" s="16"/>
      <c r="D16" s="16"/>
      <c r="E16" s="16"/>
      <c r="G16" s="19">
        <v>8.4779999999999998</v>
      </c>
      <c r="H16" s="21">
        <v>508.375</v>
      </c>
      <c r="I16" s="16" t="s">
        <v>18</v>
      </c>
      <c r="J16" s="16"/>
      <c r="K16" s="16"/>
      <c r="M16" s="19">
        <v>6.56</v>
      </c>
      <c r="N16" s="21">
        <v>469.09399999999999</v>
      </c>
      <c r="O16" s="16" t="s">
        <v>18</v>
      </c>
      <c r="P16" s="16"/>
      <c r="Q16" s="16"/>
      <c r="S16" s="19">
        <v>9.7200000000000006</v>
      </c>
      <c r="T16" s="21">
        <v>519.87900000000002</v>
      </c>
      <c r="U16" s="16" t="s">
        <v>18</v>
      </c>
      <c r="V16" s="16"/>
      <c r="W16" s="16"/>
      <c r="Y16" s="19">
        <v>7.7549999999999999</v>
      </c>
      <c r="Z16" s="21">
        <v>488.94799999999998</v>
      </c>
      <c r="AA16" s="16" t="s">
        <v>18</v>
      </c>
      <c r="AB16" s="16"/>
      <c r="AC16" s="16"/>
      <c r="AE16" s="19">
        <v>6.0750000000000002</v>
      </c>
      <c r="AF16" s="21">
        <v>487.87</v>
      </c>
      <c r="AG16" s="16"/>
      <c r="AH16" s="16" t="s">
        <v>208</v>
      </c>
      <c r="AI16" s="16"/>
      <c r="AK16" s="19">
        <v>7.2329999999999997</v>
      </c>
      <c r="AL16" s="21">
        <v>509.43</v>
      </c>
      <c r="AM16" s="16"/>
      <c r="AN16" s="16" t="s">
        <v>226</v>
      </c>
      <c r="AO16" s="16"/>
      <c r="AQ16" s="19">
        <v>7.2329999999999997</v>
      </c>
      <c r="AR16" s="21">
        <v>509.43</v>
      </c>
      <c r="AS16" s="16"/>
      <c r="AT16" s="16" t="s">
        <v>226</v>
      </c>
      <c r="AU16" s="16"/>
      <c r="AW16" s="19">
        <v>7.2329999999999997</v>
      </c>
      <c r="AX16" s="21">
        <v>509.43</v>
      </c>
      <c r="AY16" s="16"/>
      <c r="AZ16" s="16" t="s">
        <v>226</v>
      </c>
      <c r="BA16" s="16"/>
      <c r="BC16" s="19">
        <v>7.4180000000000001</v>
      </c>
      <c r="BD16" s="21">
        <v>498.58</v>
      </c>
      <c r="BE16" s="16"/>
      <c r="BF16" s="16" t="s">
        <v>249</v>
      </c>
      <c r="BG16" s="16"/>
      <c r="BI16" s="19">
        <v>7.4180000000000001</v>
      </c>
      <c r="BJ16" s="21">
        <v>498.58</v>
      </c>
      <c r="BK16" s="16"/>
      <c r="BL16" s="16" t="s">
        <v>249</v>
      </c>
      <c r="BM16" s="16"/>
      <c r="BO16" s="19">
        <v>8.8829999999999991</v>
      </c>
      <c r="BP16" s="21">
        <v>494.36</v>
      </c>
      <c r="BQ16" s="16"/>
      <c r="BR16" s="16" t="s">
        <v>263</v>
      </c>
      <c r="BS16" s="16"/>
      <c r="BV16" s="19">
        <v>8.8829999999999991</v>
      </c>
      <c r="BW16" s="21">
        <v>494.36</v>
      </c>
      <c r="BX16" s="16"/>
      <c r="BY16" s="16" t="s">
        <v>263</v>
      </c>
      <c r="BZ16" s="16"/>
    </row>
    <row r="17" spans="1:78" ht="15">
      <c r="A17" s="19">
        <v>6.3975</v>
      </c>
      <c r="B17" s="21">
        <v>512.70299999999997</v>
      </c>
      <c r="C17" s="16"/>
      <c r="D17" s="16"/>
      <c r="E17" s="16"/>
      <c r="G17" s="19">
        <v>9.4049999999999994</v>
      </c>
      <c r="H17" s="21">
        <v>524.89400000000001</v>
      </c>
      <c r="I17" s="16" t="s">
        <v>18</v>
      </c>
      <c r="J17" s="16"/>
      <c r="K17" s="16"/>
      <c r="M17" s="19">
        <v>7.6675000000000004</v>
      </c>
      <c r="N17" s="21">
        <v>485.755</v>
      </c>
      <c r="O17" s="16" t="s">
        <v>18</v>
      </c>
      <c r="P17" s="16"/>
      <c r="Q17" s="16"/>
      <c r="S17" s="19">
        <v>10.71</v>
      </c>
      <c r="T17" s="21">
        <v>516.73400000000004</v>
      </c>
      <c r="U17" s="16" t="s">
        <v>18</v>
      </c>
      <c r="V17" s="16"/>
      <c r="W17" s="16"/>
      <c r="Y17" s="19">
        <v>8.77</v>
      </c>
      <c r="Z17" s="21">
        <v>505.70400000000001</v>
      </c>
      <c r="AA17" s="16" t="s">
        <v>18</v>
      </c>
      <c r="AB17" s="16"/>
      <c r="AC17" s="16"/>
      <c r="AE17" s="19">
        <v>6.8280000000000003</v>
      </c>
      <c r="AF17" s="21">
        <v>512.13</v>
      </c>
      <c r="AG17" s="16"/>
      <c r="AH17" s="16"/>
      <c r="AI17" s="16"/>
      <c r="AK17" s="19">
        <v>8.2129999999999992</v>
      </c>
      <c r="AL17" s="21">
        <v>499.76</v>
      </c>
      <c r="AM17" s="16"/>
      <c r="AN17" s="16" t="s">
        <v>227</v>
      </c>
      <c r="AO17" s="16"/>
      <c r="AQ17" s="19">
        <v>8.2129999999999992</v>
      </c>
      <c r="AR17" s="21">
        <v>499.76</v>
      </c>
      <c r="AS17" s="16"/>
      <c r="AT17" s="16" t="s">
        <v>227</v>
      </c>
      <c r="AU17" s="16"/>
      <c r="AW17" s="19">
        <v>8.2129999999999992</v>
      </c>
      <c r="AX17" s="21">
        <v>499.76</v>
      </c>
      <c r="AY17" s="16"/>
      <c r="AZ17" s="16" t="s">
        <v>227</v>
      </c>
      <c r="BA17" s="16"/>
      <c r="BC17" s="19">
        <v>8.4499999999999993</v>
      </c>
      <c r="BD17" s="21">
        <v>512.39</v>
      </c>
      <c r="BE17" s="16"/>
      <c r="BF17" s="16" t="s">
        <v>250</v>
      </c>
      <c r="BG17" s="16"/>
      <c r="BI17" s="19">
        <v>8.4499999999999993</v>
      </c>
      <c r="BJ17" s="21">
        <v>512.39</v>
      </c>
      <c r="BK17" s="16"/>
      <c r="BL17" s="16" t="s">
        <v>250</v>
      </c>
      <c r="BM17" s="16"/>
      <c r="BO17" s="19">
        <v>9.9629999999999992</v>
      </c>
      <c r="BP17" s="21">
        <v>507.99</v>
      </c>
      <c r="BQ17" s="16"/>
      <c r="BR17" s="16" t="s">
        <v>264</v>
      </c>
      <c r="BS17" s="16"/>
      <c r="BV17" s="19">
        <v>9.9629999999999992</v>
      </c>
      <c r="BW17" s="21">
        <v>507.99</v>
      </c>
      <c r="BX17" s="16"/>
      <c r="BY17" s="16" t="s">
        <v>264</v>
      </c>
      <c r="BZ17" s="16"/>
    </row>
    <row r="18" spans="1:78" ht="15">
      <c r="A18" s="19">
        <v>7.3330000000000002</v>
      </c>
      <c r="B18" s="21">
        <v>501.28899999999999</v>
      </c>
      <c r="C18" s="16"/>
      <c r="D18" s="16"/>
      <c r="E18" s="16"/>
      <c r="G18" s="19">
        <v>10.335000000000001</v>
      </c>
      <c r="H18" s="21">
        <v>512.327</v>
      </c>
      <c r="I18" s="16" t="s">
        <v>18</v>
      </c>
      <c r="J18" s="16"/>
      <c r="K18" s="16"/>
      <c r="M18" s="19">
        <v>8.7650000000000006</v>
      </c>
      <c r="N18" s="21">
        <v>462.00799999999998</v>
      </c>
      <c r="O18" s="16" t="s">
        <v>18</v>
      </c>
      <c r="P18" s="16"/>
      <c r="Q18" s="16"/>
      <c r="S18" s="19">
        <v>11.664999999999999</v>
      </c>
      <c r="T18" s="21">
        <v>533.19000000000005</v>
      </c>
      <c r="U18" s="16" t="s">
        <v>18</v>
      </c>
      <c r="V18" s="16"/>
      <c r="W18" s="16"/>
      <c r="Y18" s="19">
        <v>9.7200000000000006</v>
      </c>
      <c r="Z18" s="21">
        <v>519.87900000000002</v>
      </c>
      <c r="AA18" s="16" t="s">
        <v>18</v>
      </c>
      <c r="AB18" s="16"/>
      <c r="AC18" s="16"/>
      <c r="AE18" s="19">
        <v>7.7080000000000002</v>
      </c>
      <c r="AF18" s="21">
        <v>508.83</v>
      </c>
      <c r="AG18" s="16"/>
      <c r="AH18" s="16" t="s">
        <v>209</v>
      </c>
      <c r="AI18" s="16"/>
      <c r="AK18" s="19">
        <v>9.2249999999999996</v>
      </c>
      <c r="AL18" s="21">
        <v>502.29</v>
      </c>
      <c r="AM18" s="16"/>
      <c r="AN18" s="16" t="s">
        <v>228</v>
      </c>
      <c r="AO18" s="16"/>
      <c r="AQ18" s="19">
        <v>9.2249999999999996</v>
      </c>
      <c r="AR18" s="21">
        <v>502.29</v>
      </c>
      <c r="AS18" s="16"/>
      <c r="AT18" s="16" t="s">
        <v>228</v>
      </c>
      <c r="AU18" s="16"/>
      <c r="AW18" s="19">
        <v>9.2249999999999996</v>
      </c>
      <c r="AX18" s="21">
        <v>502.29</v>
      </c>
      <c r="AY18" s="16"/>
      <c r="AZ18" s="16" t="s">
        <v>228</v>
      </c>
      <c r="BA18" s="16"/>
      <c r="BC18" s="19">
        <v>9.4350000000000005</v>
      </c>
      <c r="BD18" s="21">
        <v>525.54999999999995</v>
      </c>
      <c r="BE18" s="16"/>
      <c r="BF18" s="16" t="s">
        <v>251</v>
      </c>
      <c r="BG18" s="16"/>
      <c r="BI18" s="19">
        <v>9.4350000000000005</v>
      </c>
      <c r="BJ18" s="21">
        <v>525.54999999999995</v>
      </c>
      <c r="BK18" s="16"/>
      <c r="BL18" s="16" t="s">
        <v>251</v>
      </c>
      <c r="BM18" s="16"/>
      <c r="BO18" s="19">
        <v>10.984999999999999</v>
      </c>
      <c r="BP18" s="21">
        <v>527.92999999999995</v>
      </c>
      <c r="BQ18" s="16"/>
      <c r="BR18" s="16"/>
      <c r="BS18" s="16"/>
      <c r="BV18" s="19">
        <v>10.984999999999999</v>
      </c>
      <c r="BW18" s="21">
        <v>527.92999999999995</v>
      </c>
      <c r="BX18" s="16"/>
      <c r="BY18" s="16"/>
      <c r="BZ18" s="16"/>
    </row>
    <row r="19" spans="1:78" ht="15">
      <c r="A19" s="19">
        <v>8.5050000000000008</v>
      </c>
      <c r="B19" s="21">
        <v>517.173</v>
      </c>
      <c r="C19" s="16"/>
      <c r="D19" s="16"/>
      <c r="E19" s="16"/>
      <c r="G19" s="19">
        <v>11.268000000000001</v>
      </c>
      <c r="H19" s="21">
        <v>546.68899999999996</v>
      </c>
      <c r="I19" s="16" t="s">
        <v>18</v>
      </c>
      <c r="J19" s="16"/>
      <c r="K19" s="16"/>
      <c r="M19" s="19">
        <v>9.7349999999999994</v>
      </c>
      <c r="N19" s="21">
        <v>522.79899999999998</v>
      </c>
      <c r="O19" s="16" t="s">
        <v>18</v>
      </c>
      <c r="P19" s="16"/>
      <c r="Q19" s="16"/>
      <c r="S19" s="19">
        <v>12.59</v>
      </c>
      <c r="T19" s="21">
        <v>536.63599999999997</v>
      </c>
      <c r="U19" s="16" t="s">
        <v>18</v>
      </c>
      <c r="V19" s="16"/>
      <c r="W19" s="16"/>
      <c r="Y19" s="19">
        <v>10.71</v>
      </c>
      <c r="Z19" s="21">
        <v>516.73400000000004</v>
      </c>
      <c r="AA19" s="16" t="s">
        <v>18</v>
      </c>
      <c r="AB19" s="16"/>
      <c r="AC19" s="16"/>
      <c r="AE19" s="19">
        <v>8.5350000000000001</v>
      </c>
      <c r="AF19" s="21">
        <v>527.11</v>
      </c>
      <c r="AG19" s="16"/>
      <c r="AH19" s="16" t="s">
        <v>210</v>
      </c>
      <c r="AI19" s="16"/>
      <c r="AK19" s="19">
        <v>10.215</v>
      </c>
      <c r="AL19" s="21">
        <v>512.27</v>
      </c>
      <c r="AM19" s="16"/>
      <c r="AN19" s="16"/>
      <c r="AO19" s="16"/>
      <c r="AQ19" s="19">
        <v>10.215</v>
      </c>
      <c r="AR19" s="21">
        <v>512.27</v>
      </c>
      <c r="AS19" s="16"/>
      <c r="AT19" s="16"/>
      <c r="AU19" s="16"/>
      <c r="AW19" s="19">
        <v>10.215</v>
      </c>
      <c r="AX19" s="21">
        <v>512.27</v>
      </c>
      <c r="AY19" s="16"/>
      <c r="AZ19" s="16"/>
      <c r="BA19" s="16"/>
      <c r="BC19" s="19">
        <v>10.41</v>
      </c>
      <c r="BD19" s="21">
        <v>531.37</v>
      </c>
      <c r="BE19" s="16"/>
      <c r="BF19" s="16"/>
      <c r="BG19" s="16"/>
      <c r="BI19" s="19">
        <v>10.41</v>
      </c>
      <c r="BJ19" s="21">
        <v>531.37</v>
      </c>
      <c r="BK19" s="16"/>
      <c r="BL19" s="16"/>
      <c r="BM19" s="16"/>
      <c r="BO19" s="19">
        <v>11.917999999999999</v>
      </c>
      <c r="BP19" s="21">
        <v>550.30999999999995</v>
      </c>
      <c r="BQ19" s="16"/>
      <c r="BR19" s="16"/>
      <c r="BS19" s="16"/>
      <c r="BV19" s="19">
        <v>11.917999999999999</v>
      </c>
      <c r="BW19" s="21">
        <v>550.30999999999995</v>
      </c>
      <c r="BX19" s="16"/>
      <c r="BY19" s="16"/>
      <c r="BZ19" s="16"/>
    </row>
    <row r="20" spans="1:78" ht="15">
      <c r="A20" s="19">
        <v>9.3350000000000009</v>
      </c>
      <c r="B20" s="21">
        <v>513.42999999999995</v>
      </c>
      <c r="C20" s="16"/>
      <c r="D20" s="16"/>
      <c r="E20" s="16"/>
      <c r="G20" s="19">
        <v>12.288</v>
      </c>
      <c r="H20" s="21">
        <v>549.90099999999995</v>
      </c>
      <c r="I20" s="16" t="s">
        <v>18</v>
      </c>
      <c r="J20" s="16"/>
      <c r="K20" s="16"/>
      <c r="M20" s="19">
        <v>10.702500000000001</v>
      </c>
      <c r="N20" s="21">
        <v>534.36500000000001</v>
      </c>
      <c r="O20" s="16" t="s">
        <v>18</v>
      </c>
      <c r="P20" s="16"/>
      <c r="Q20" s="16"/>
      <c r="S20" s="19">
        <v>13.475</v>
      </c>
      <c r="T20" s="21">
        <v>559.66899999999998</v>
      </c>
      <c r="U20" s="16" t="s">
        <v>18</v>
      </c>
      <c r="V20" s="16"/>
      <c r="W20" s="16"/>
      <c r="Y20" s="19">
        <v>11.664999999999999</v>
      </c>
      <c r="Z20" s="21">
        <v>533.19000000000005</v>
      </c>
      <c r="AA20" s="16" t="s">
        <v>18</v>
      </c>
      <c r="AB20" s="16"/>
      <c r="AC20" s="16"/>
      <c r="AE20" s="19">
        <v>9.1549999999999994</v>
      </c>
      <c r="AF20" s="21">
        <v>539.54</v>
      </c>
      <c r="AG20" s="16"/>
      <c r="AH20" s="16"/>
      <c r="AI20" s="16"/>
      <c r="AK20" s="19">
        <v>11.238</v>
      </c>
      <c r="AL20" s="21">
        <v>546.57000000000005</v>
      </c>
      <c r="AM20" s="16"/>
      <c r="AN20" s="16"/>
      <c r="AO20" s="16"/>
      <c r="AQ20" s="19">
        <v>11.238</v>
      </c>
      <c r="AR20" s="21">
        <v>546.57000000000005</v>
      </c>
      <c r="AS20" s="16"/>
      <c r="AT20" s="16"/>
      <c r="AU20" s="16"/>
      <c r="AW20" s="19">
        <v>11.238</v>
      </c>
      <c r="AX20" s="21">
        <v>546.57000000000005</v>
      </c>
      <c r="AY20" s="16"/>
      <c r="AZ20" s="16"/>
      <c r="BA20" s="16"/>
      <c r="BC20" s="19">
        <v>11.382999999999999</v>
      </c>
      <c r="BD20" s="21">
        <v>524.66</v>
      </c>
      <c r="BE20" s="16"/>
      <c r="BF20" s="16"/>
      <c r="BG20" s="16"/>
      <c r="BI20" s="19">
        <v>11.382999999999999</v>
      </c>
      <c r="BJ20" s="21">
        <v>524.66</v>
      </c>
      <c r="BK20" s="16"/>
      <c r="BL20" s="16"/>
      <c r="BM20" s="16"/>
      <c r="BO20" s="19">
        <v>12.89</v>
      </c>
      <c r="BP20" s="21">
        <v>551.69000000000005</v>
      </c>
      <c r="BQ20" s="16"/>
      <c r="BR20" s="16"/>
      <c r="BS20" s="16"/>
      <c r="BV20" s="19">
        <v>12.89</v>
      </c>
      <c r="BW20" s="21">
        <v>551.69000000000005</v>
      </c>
      <c r="BX20" s="16"/>
      <c r="BY20" s="16"/>
      <c r="BZ20" s="16"/>
    </row>
    <row r="21" spans="1:78" ht="15">
      <c r="A21" s="19">
        <v>10.24</v>
      </c>
      <c r="B21" s="21">
        <v>556.99</v>
      </c>
      <c r="C21" s="16"/>
      <c r="D21" s="16"/>
      <c r="E21" s="16"/>
      <c r="G21" s="19">
        <v>13.247999999999999</v>
      </c>
      <c r="H21" s="21">
        <v>557.46199999999999</v>
      </c>
      <c r="I21" s="16" t="s">
        <v>18</v>
      </c>
      <c r="J21" s="16"/>
      <c r="K21" s="16"/>
      <c r="M21" s="19">
        <v>11.672499999999999</v>
      </c>
      <c r="N21" s="21">
        <v>534.15099999999995</v>
      </c>
      <c r="O21" s="16" t="s">
        <v>18</v>
      </c>
      <c r="P21" s="16"/>
      <c r="Q21" s="16"/>
      <c r="S21" s="16" t="s">
        <v>25</v>
      </c>
      <c r="T21" s="16"/>
      <c r="U21" s="16"/>
      <c r="V21" s="16"/>
      <c r="W21" s="16"/>
      <c r="Y21" s="19">
        <v>12.59</v>
      </c>
      <c r="Z21" s="21">
        <v>536.63599999999997</v>
      </c>
      <c r="AA21" s="16" t="s">
        <v>18</v>
      </c>
      <c r="AB21" s="16"/>
      <c r="AC21" s="16"/>
      <c r="AE21" s="19">
        <v>9.9130000000000003</v>
      </c>
      <c r="AF21" s="21">
        <v>554.22</v>
      </c>
      <c r="AG21" s="16"/>
      <c r="AH21" s="16"/>
      <c r="AI21" s="16"/>
      <c r="AK21" s="19">
        <v>12.247999999999999</v>
      </c>
      <c r="AL21" s="21">
        <v>544.33000000000004</v>
      </c>
      <c r="AM21" s="16"/>
      <c r="AN21" s="16" t="s">
        <v>209</v>
      </c>
      <c r="AO21" s="16"/>
      <c r="AQ21" s="19">
        <v>12.247999999999999</v>
      </c>
      <c r="AR21" s="21">
        <v>544.33000000000004</v>
      </c>
      <c r="AS21" s="16"/>
      <c r="AT21" s="16" t="s">
        <v>209</v>
      </c>
      <c r="AU21" s="16"/>
      <c r="AW21" s="19">
        <v>12.247999999999999</v>
      </c>
      <c r="AX21" s="21">
        <v>544.33000000000004</v>
      </c>
      <c r="AY21" s="16"/>
      <c r="AZ21" s="16" t="s">
        <v>209</v>
      </c>
      <c r="BA21" s="16"/>
      <c r="BC21" s="19">
        <v>12.333</v>
      </c>
      <c r="BD21" s="21">
        <v>541.88</v>
      </c>
      <c r="BE21" s="16"/>
      <c r="BF21" s="16" t="s">
        <v>209</v>
      </c>
      <c r="BG21" s="16"/>
      <c r="BI21" s="19">
        <v>12.333</v>
      </c>
      <c r="BJ21" s="21">
        <v>541.88</v>
      </c>
      <c r="BK21" s="16"/>
      <c r="BL21" s="16" t="s">
        <v>209</v>
      </c>
      <c r="BM21" s="16"/>
      <c r="BO21" s="19">
        <v>13.78</v>
      </c>
      <c r="BP21" s="21">
        <v>568.65</v>
      </c>
      <c r="BQ21" s="16"/>
      <c r="BR21" s="16" t="s">
        <v>209</v>
      </c>
      <c r="BS21" s="16"/>
      <c r="BV21" s="19">
        <v>13.78</v>
      </c>
      <c r="BW21" s="21">
        <v>568.65</v>
      </c>
      <c r="BX21" s="16"/>
      <c r="BY21" s="16" t="s">
        <v>209</v>
      </c>
      <c r="BZ21" s="16"/>
    </row>
    <row r="22" spans="1:78" ht="15">
      <c r="A22" s="19">
        <v>11.29</v>
      </c>
      <c r="B22" s="21">
        <v>558.98</v>
      </c>
      <c r="C22" s="16"/>
      <c r="D22" s="16"/>
      <c r="E22" s="16"/>
      <c r="G22" s="19">
        <v>14.074999999999999</v>
      </c>
      <c r="H22" s="21">
        <v>571.65899999999999</v>
      </c>
      <c r="I22" s="16" t="s">
        <v>18</v>
      </c>
      <c r="J22" s="16"/>
      <c r="K22" s="16"/>
      <c r="M22" s="19">
        <v>12.555</v>
      </c>
      <c r="N22" s="21">
        <v>556.48199999999997</v>
      </c>
      <c r="O22" s="16" t="s">
        <v>18</v>
      </c>
      <c r="P22" s="16"/>
      <c r="Q22" s="16"/>
      <c r="S22" s="16" t="s">
        <v>26</v>
      </c>
      <c r="T22" s="16"/>
      <c r="U22" s="16"/>
      <c r="V22" s="16"/>
      <c r="W22" s="16"/>
      <c r="Y22" s="19">
        <v>13.475</v>
      </c>
      <c r="Z22" s="21">
        <v>559.66899999999998</v>
      </c>
      <c r="AA22" s="16" t="s">
        <v>18</v>
      </c>
      <c r="AB22" s="16"/>
      <c r="AC22" s="16"/>
      <c r="AE22" s="19">
        <v>10.913</v>
      </c>
      <c r="AF22" s="21">
        <v>575.59</v>
      </c>
      <c r="AG22" s="16"/>
      <c r="AH22" s="16"/>
      <c r="AI22" s="16"/>
      <c r="AK22" s="19">
        <v>13.234999999999999</v>
      </c>
      <c r="AL22" s="21">
        <v>551.33000000000004</v>
      </c>
      <c r="AM22" s="16"/>
      <c r="AN22" s="16" t="s">
        <v>229</v>
      </c>
      <c r="AO22" s="16"/>
      <c r="AQ22" s="19">
        <v>13.234999999999999</v>
      </c>
      <c r="AR22" s="21">
        <v>551.33000000000004</v>
      </c>
      <c r="AS22" s="16"/>
      <c r="AT22" s="16" t="s">
        <v>229</v>
      </c>
      <c r="AU22" s="16"/>
      <c r="AW22" s="19">
        <v>13.234999999999999</v>
      </c>
      <c r="AX22" s="21">
        <v>551.33000000000004</v>
      </c>
      <c r="AY22" s="16"/>
      <c r="AZ22" s="16" t="s">
        <v>229</v>
      </c>
      <c r="BA22" s="16"/>
      <c r="BC22" s="19">
        <v>13.303000000000001</v>
      </c>
      <c r="BD22" s="21">
        <v>551.55999999999995</v>
      </c>
      <c r="BE22" s="16"/>
      <c r="BF22" s="16" t="s">
        <v>212</v>
      </c>
      <c r="BG22" s="16"/>
      <c r="BI22" s="19">
        <v>13.303000000000001</v>
      </c>
      <c r="BJ22" s="21">
        <v>551.55999999999995</v>
      </c>
      <c r="BK22" s="16"/>
      <c r="BL22" s="16" t="s">
        <v>212</v>
      </c>
      <c r="BM22" s="16"/>
      <c r="BO22" s="19">
        <v>14.64</v>
      </c>
      <c r="BP22" s="21">
        <v>567.08000000000004</v>
      </c>
      <c r="BQ22" s="16"/>
      <c r="BR22" s="16" t="s">
        <v>212</v>
      </c>
      <c r="BS22" s="16"/>
      <c r="BV22" s="19">
        <v>14.64</v>
      </c>
      <c r="BW22" s="21">
        <v>567.08000000000004</v>
      </c>
      <c r="BX22" s="16"/>
      <c r="BY22" s="16" t="s">
        <v>212</v>
      </c>
      <c r="BZ22" s="16"/>
    </row>
    <row r="23" spans="1:78" ht="15">
      <c r="A23" s="19">
        <v>12.1875</v>
      </c>
      <c r="B23" s="21">
        <v>561.99400000000003</v>
      </c>
      <c r="C23" s="16"/>
      <c r="D23" s="16"/>
      <c r="E23" s="16"/>
      <c r="G23" s="19">
        <v>14.984999999999999</v>
      </c>
      <c r="H23" s="21">
        <v>571.44799999999998</v>
      </c>
      <c r="I23" s="16" t="s">
        <v>18</v>
      </c>
      <c r="J23" s="16"/>
      <c r="K23" s="16"/>
      <c r="M23" s="19">
        <v>13.445</v>
      </c>
      <c r="N23" s="21">
        <v>560.65200000000004</v>
      </c>
      <c r="O23" s="16" t="s">
        <v>18</v>
      </c>
      <c r="P23" s="16"/>
      <c r="Q23" s="16"/>
      <c r="S23" s="16" t="s">
        <v>27</v>
      </c>
      <c r="T23" s="16"/>
      <c r="U23" s="16"/>
      <c r="V23" s="16"/>
      <c r="W23" s="16"/>
      <c r="Y23" s="16" t="s">
        <v>25</v>
      </c>
      <c r="Z23" s="16"/>
      <c r="AA23" s="16"/>
      <c r="AB23" s="16"/>
      <c r="AC23" s="16"/>
      <c r="AE23" s="19">
        <v>11.855</v>
      </c>
      <c r="AF23" s="21">
        <v>564.25</v>
      </c>
      <c r="AG23" s="16"/>
      <c r="AH23" s="16"/>
      <c r="AI23" s="16"/>
      <c r="AK23" s="19">
        <v>14.28</v>
      </c>
      <c r="AL23" s="21">
        <v>559.75</v>
      </c>
      <c r="AM23" s="16"/>
      <c r="AN23" s="16"/>
      <c r="AO23" s="16"/>
      <c r="AQ23" s="19">
        <v>14.28</v>
      </c>
      <c r="AR23" s="21">
        <v>559.75</v>
      </c>
      <c r="AS23" s="16"/>
      <c r="AT23" s="16"/>
      <c r="AU23" s="16"/>
      <c r="AW23" s="19">
        <v>14.28</v>
      </c>
      <c r="AX23" s="21">
        <v>559.75</v>
      </c>
      <c r="AY23" s="16"/>
      <c r="AZ23" s="16"/>
      <c r="BA23" s="16"/>
      <c r="BC23" s="19">
        <v>14.22</v>
      </c>
      <c r="BD23" s="21">
        <v>566.04</v>
      </c>
      <c r="BE23" s="16"/>
      <c r="BF23" s="16"/>
      <c r="BG23" s="16"/>
      <c r="BI23" s="19">
        <v>14.22</v>
      </c>
      <c r="BJ23" s="21">
        <v>566.04</v>
      </c>
      <c r="BK23" s="16"/>
      <c r="BL23" s="16"/>
      <c r="BM23" s="16"/>
      <c r="BO23" s="19">
        <v>15.563000000000001</v>
      </c>
      <c r="BP23" s="21">
        <v>558.36</v>
      </c>
      <c r="BQ23" s="16"/>
      <c r="BR23" s="16"/>
      <c r="BS23" s="16"/>
      <c r="BV23" s="19">
        <v>15.563000000000001</v>
      </c>
      <c r="BW23" s="21">
        <v>558.36</v>
      </c>
      <c r="BX23" s="16"/>
      <c r="BY23" s="16"/>
      <c r="BZ23" s="16"/>
    </row>
    <row r="24" spans="1:78" ht="15">
      <c r="A24" s="19">
        <v>13.05</v>
      </c>
      <c r="B24" s="21">
        <v>582.37900000000002</v>
      </c>
      <c r="C24" s="16"/>
      <c r="D24" s="16"/>
      <c r="E24" s="16"/>
      <c r="G24" s="19">
        <v>15.91</v>
      </c>
      <c r="H24" s="21">
        <v>587.81899999999996</v>
      </c>
      <c r="I24" s="16" t="s">
        <v>18</v>
      </c>
      <c r="J24" s="16"/>
      <c r="K24" s="16"/>
      <c r="M24" s="19">
        <v>14.387499999999999</v>
      </c>
      <c r="N24" s="21">
        <v>564.16099999999994</v>
      </c>
      <c r="O24" s="16" t="s">
        <v>18</v>
      </c>
      <c r="P24" s="16"/>
      <c r="Q24" s="16"/>
      <c r="S24" s="16" t="s">
        <v>28</v>
      </c>
      <c r="T24" s="16"/>
      <c r="U24" s="16"/>
      <c r="V24" s="16"/>
      <c r="W24" s="16"/>
      <c r="Y24" s="16" t="s">
        <v>26</v>
      </c>
      <c r="Z24" s="16"/>
      <c r="AA24" s="16"/>
      <c r="AB24" s="16"/>
      <c r="AC24" s="16"/>
      <c r="AE24" s="19">
        <v>12.54</v>
      </c>
      <c r="AF24" s="21">
        <v>579.86</v>
      </c>
      <c r="AG24" s="16"/>
      <c r="AH24" s="16"/>
      <c r="AI24" s="16"/>
      <c r="AK24" s="19">
        <v>15.327999999999999</v>
      </c>
      <c r="AL24" s="21">
        <v>564.57000000000005</v>
      </c>
      <c r="AM24" s="16"/>
      <c r="AN24" s="16"/>
      <c r="AO24" s="16"/>
      <c r="AQ24" s="19">
        <v>15.327999999999999</v>
      </c>
      <c r="AR24" s="21">
        <v>564.57000000000005</v>
      </c>
      <c r="AS24" s="16"/>
      <c r="AT24" s="16"/>
      <c r="AU24" s="16"/>
      <c r="AW24" s="19">
        <v>15.327999999999999</v>
      </c>
      <c r="AX24" s="21">
        <v>564.57000000000005</v>
      </c>
      <c r="AY24" s="16"/>
      <c r="AZ24" s="16"/>
      <c r="BA24" s="16"/>
      <c r="BC24" s="19">
        <v>15.164999999999999</v>
      </c>
      <c r="BD24" s="21">
        <v>568.13</v>
      </c>
      <c r="BE24" s="16"/>
      <c r="BF24" s="16"/>
      <c r="BG24" s="16"/>
      <c r="BI24" s="19">
        <v>15.164999999999999</v>
      </c>
      <c r="BJ24" s="21">
        <v>568.13</v>
      </c>
      <c r="BK24" s="16"/>
      <c r="BL24" s="16"/>
      <c r="BM24" s="16"/>
      <c r="BO24" s="19">
        <v>16.504999999999999</v>
      </c>
      <c r="BP24" s="21">
        <v>564</v>
      </c>
      <c r="BQ24" s="16"/>
      <c r="BR24" s="16"/>
      <c r="BS24" s="16"/>
      <c r="BV24" s="19">
        <v>16.504999999999999</v>
      </c>
      <c r="BW24" s="21">
        <v>564</v>
      </c>
      <c r="BX24" s="16"/>
      <c r="BY24" s="16"/>
      <c r="BZ24" s="16"/>
    </row>
    <row r="25" spans="1:78" ht="15">
      <c r="A25" s="19">
        <v>13.9825</v>
      </c>
      <c r="B25" s="21">
        <v>583.82100000000003</v>
      </c>
      <c r="C25" s="16"/>
      <c r="D25" s="16"/>
      <c r="E25" s="16"/>
      <c r="G25" s="19">
        <v>16.803000000000001</v>
      </c>
      <c r="H25" s="21">
        <v>580.38099999999997</v>
      </c>
      <c r="I25" s="16" t="s">
        <v>18</v>
      </c>
      <c r="J25" s="16"/>
      <c r="K25" s="16"/>
      <c r="M25" s="19">
        <v>15.285</v>
      </c>
      <c r="N25" s="21">
        <v>569.35199999999998</v>
      </c>
      <c r="O25" s="16" t="s">
        <v>18</v>
      </c>
      <c r="P25" s="16"/>
      <c r="Q25" s="16"/>
      <c r="S25" s="16" t="s">
        <v>192</v>
      </c>
      <c r="T25" s="16"/>
      <c r="U25" s="16"/>
      <c r="V25" s="16"/>
      <c r="W25" s="16"/>
      <c r="Y25" s="16" t="s">
        <v>27</v>
      </c>
      <c r="Z25" s="16"/>
      <c r="AA25" s="16"/>
      <c r="AB25" s="16"/>
      <c r="AC25" s="16"/>
      <c r="AE25" s="19">
        <v>13.257999999999999</v>
      </c>
      <c r="AF25" s="21">
        <v>587.35</v>
      </c>
      <c r="AG25" s="16"/>
      <c r="AH25" s="16"/>
      <c r="AI25" s="16"/>
      <c r="AK25" s="19">
        <v>16.38</v>
      </c>
      <c r="AL25" s="21">
        <v>569.04</v>
      </c>
      <c r="AM25" s="16"/>
      <c r="AN25" s="16"/>
      <c r="AO25" s="16"/>
      <c r="AQ25" s="19">
        <v>16.38</v>
      </c>
      <c r="AR25" s="21">
        <v>569.04</v>
      </c>
      <c r="AS25" s="16"/>
      <c r="AT25" s="16"/>
      <c r="AU25" s="16"/>
      <c r="AW25" s="19">
        <v>16.38</v>
      </c>
      <c r="AX25" s="21">
        <v>569.04</v>
      </c>
      <c r="AY25" s="16"/>
      <c r="AZ25" s="16"/>
      <c r="BA25" s="16"/>
      <c r="BC25" s="19">
        <v>16.12</v>
      </c>
      <c r="BD25" s="21">
        <v>575.63</v>
      </c>
      <c r="BE25" s="16"/>
      <c r="BF25" s="16"/>
      <c r="BG25" s="16"/>
      <c r="BI25" s="19">
        <v>16.12</v>
      </c>
      <c r="BJ25" s="21">
        <v>575.63</v>
      </c>
      <c r="BK25" s="16"/>
      <c r="BL25" s="16"/>
      <c r="BM25" s="16"/>
      <c r="BO25" s="19">
        <v>17.402999999999999</v>
      </c>
      <c r="BP25" s="21">
        <v>584.77</v>
      </c>
      <c r="BQ25" s="16"/>
      <c r="BR25" s="16"/>
      <c r="BS25" s="16"/>
      <c r="BV25" s="19">
        <v>17.402999999999999</v>
      </c>
      <c r="BW25" s="21">
        <v>584.77</v>
      </c>
      <c r="BX25" s="16"/>
      <c r="BY25" s="16"/>
      <c r="BZ25" s="16"/>
    </row>
    <row r="26" spans="1:78" ht="15">
      <c r="A26" s="19">
        <v>14.904999999999999</v>
      </c>
      <c r="B26" s="21">
        <v>590.87599999999998</v>
      </c>
      <c r="C26" s="16"/>
      <c r="D26" s="16"/>
      <c r="E26" s="16"/>
      <c r="G26" s="19">
        <v>17.684999999999999</v>
      </c>
      <c r="H26" s="21">
        <v>594.76300000000003</v>
      </c>
      <c r="I26" s="16" t="s">
        <v>18</v>
      </c>
      <c r="J26" s="16"/>
      <c r="K26" s="16"/>
      <c r="M26" s="19">
        <v>16.149999999999999</v>
      </c>
      <c r="N26" s="21">
        <v>579.15099999999995</v>
      </c>
      <c r="O26" s="16" t="s">
        <v>18</v>
      </c>
      <c r="P26" s="16"/>
      <c r="Q26" s="16"/>
      <c r="S26" s="16" t="s">
        <v>166</v>
      </c>
      <c r="T26" s="16"/>
      <c r="U26" s="16"/>
      <c r="V26" s="16"/>
      <c r="W26" s="16"/>
      <c r="Y26" s="16" t="s">
        <v>28</v>
      </c>
      <c r="Z26" s="16"/>
      <c r="AA26" s="16"/>
      <c r="AB26" s="16"/>
      <c r="AC26" s="16"/>
      <c r="AE26" s="19">
        <v>14.143000000000001</v>
      </c>
      <c r="AF26" s="21">
        <v>590.48</v>
      </c>
      <c r="AG26" s="16"/>
      <c r="AH26" s="16"/>
      <c r="AI26" s="16"/>
      <c r="AK26" s="19">
        <v>17.43</v>
      </c>
      <c r="AL26" s="21">
        <v>577.36</v>
      </c>
      <c r="AM26" s="16"/>
      <c r="AN26" s="16"/>
      <c r="AO26" s="16"/>
      <c r="AQ26" s="19">
        <v>17.43</v>
      </c>
      <c r="AR26" s="21">
        <v>577.36</v>
      </c>
      <c r="AS26" s="16"/>
      <c r="AT26" s="16"/>
      <c r="AU26" s="16"/>
      <c r="AW26" s="19">
        <v>17.43</v>
      </c>
      <c r="AX26" s="21">
        <v>577.36</v>
      </c>
      <c r="AY26" s="16"/>
      <c r="AZ26" s="16"/>
      <c r="BA26" s="16"/>
      <c r="BC26" s="19">
        <v>17.047999999999998</v>
      </c>
      <c r="BD26" s="21">
        <v>588.73</v>
      </c>
      <c r="BE26" s="16"/>
      <c r="BF26" s="16"/>
      <c r="BG26" s="16"/>
      <c r="BI26" s="19">
        <v>17.047999999999998</v>
      </c>
      <c r="BJ26" s="21">
        <v>588.73</v>
      </c>
      <c r="BK26" s="16"/>
      <c r="BL26" s="16"/>
      <c r="BM26" s="16"/>
      <c r="BO26" s="19">
        <v>18.303000000000001</v>
      </c>
      <c r="BP26" s="21">
        <v>588.96</v>
      </c>
      <c r="BQ26" s="16"/>
      <c r="BR26" s="16"/>
      <c r="BS26" s="16"/>
      <c r="BV26" s="19">
        <v>18.303000000000001</v>
      </c>
      <c r="BW26" s="21">
        <v>588.96</v>
      </c>
      <c r="BX26" s="16"/>
      <c r="BY26" s="16"/>
      <c r="BZ26" s="16"/>
    </row>
    <row r="27" spans="1:78" ht="15">
      <c r="A27" s="19">
        <v>15.7875</v>
      </c>
      <c r="B27" s="21">
        <v>601.95799999999997</v>
      </c>
      <c r="C27" s="16"/>
      <c r="D27" s="16"/>
      <c r="E27" s="16"/>
      <c r="G27" s="19">
        <v>18.613</v>
      </c>
      <c r="H27" s="21">
        <v>583.86500000000001</v>
      </c>
      <c r="I27" s="16" t="s">
        <v>18</v>
      </c>
      <c r="J27" s="16"/>
      <c r="K27" s="16"/>
      <c r="M27" s="19">
        <v>17.085000000000001</v>
      </c>
      <c r="N27" s="21">
        <v>586.04399999999998</v>
      </c>
      <c r="O27" s="16" t="s">
        <v>18</v>
      </c>
      <c r="P27" s="16"/>
      <c r="Q27" s="16"/>
      <c r="S27" s="16"/>
      <c r="T27" s="16"/>
      <c r="U27" s="16"/>
      <c r="V27" s="16"/>
      <c r="W27" s="16"/>
      <c r="Y27" s="16" t="s">
        <v>192</v>
      </c>
      <c r="Z27" s="16"/>
      <c r="AA27" s="16"/>
      <c r="AB27" s="16"/>
      <c r="AC27" s="16"/>
      <c r="AE27" s="19">
        <v>15.073</v>
      </c>
      <c r="AF27" s="21">
        <v>591.19000000000005</v>
      </c>
      <c r="AG27" s="16"/>
      <c r="AH27" s="16"/>
      <c r="AI27" s="16"/>
      <c r="AK27" s="19">
        <v>18.483000000000001</v>
      </c>
      <c r="AL27" s="21">
        <v>583.38</v>
      </c>
      <c r="AM27" s="16"/>
      <c r="AN27" s="16"/>
      <c r="AO27" s="16"/>
      <c r="AQ27" s="19">
        <v>18.483000000000001</v>
      </c>
      <c r="AR27" s="21">
        <v>583.38</v>
      </c>
      <c r="AS27" s="16"/>
      <c r="AT27" s="16"/>
      <c r="AU27" s="16"/>
      <c r="AW27" s="19">
        <v>18.483000000000001</v>
      </c>
      <c r="AX27" s="21">
        <v>583.38</v>
      </c>
      <c r="AY27" s="16"/>
      <c r="AZ27" s="16"/>
      <c r="BA27" s="16"/>
      <c r="BC27" s="19">
        <v>17.983000000000001</v>
      </c>
      <c r="BD27" s="21">
        <v>578.29</v>
      </c>
      <c r="BE27" s="16"/>
      <c r="BF27" s="16"/>
      <c r="BG27" s="16"/>
      <c r="BI27" s="19">
        <v>17.983000000000001</v>
      </c>
      <c r="BJ27" s="21">
        <v>578.29</v>
      </c>
      <c r="BK27" s="16"/>
      <c r="BL27" s="16"/>
      <c r="BM27" s="16"/>
      <c r="BO27" s="19">
        <v>19.225000000000001</v>
      </c>
      <c r="BP27" s="21">
        <v>590.08000000000004</v>
      </c>
      <c r="BQ27" s="16"/>
      <c r="BR27" s="16"/>
      <c r="BS27" s="16"/>
      <c r="BV27" s="19">
        <v>19.225000000000001</v>
      </c>
      <c r="BW27" s="21">
        <v>590.08000000000004</v>
      </c>
      <c r="BX27" s="16"/>
      <c r="BY27" s="16"/>
      <c r="BZ27" s="16"/>
    </row>
    <row r="28" spans="1:78" ht="15">
      <c r="A28" s="19">
        <v>16.672499999999999</v>
      </c>
      <c r="B28" s="21">
        <v>622.09</v>
      </c>
      <c r="C28" s="16"/>
      <c r="D28" s="16"/>
      <c r="E28" s="16"/>
      <c r="G28" s="19">
        <v>19.588000000000001</v>
      </c>
      <c r="H28" s="21">
        <v>601.745</v>
      </c>
      <c r="I28" s="16" t="s">
        <v>18</v>
      </c>
      <c r="J28" s="16"/>
      <c r="K28" s="16"/>
      <c r="M28" s="19">
        <v>18.0275</v>
      </c>
      <c r="N28" s="21">
        <v>585.875</v>
      </c>
      <c r="O28" s="16" t="s">
        <v>18</v>
      </c>
      <c r="P28" s="16"/>
      <c r="Q28" s="16"/>
      <c r="S28" s="16"/>
      <c r="T28" s="16"/>
      <c r="U28" s="16"/>
      <c r="V28" s="16"/>
      <c r="W28" s="16"/>
      <c r="Y28" s="16" t="s">
        <v>166</v>
      </c>
      <c r="Z28" s="16"/>
      <c r="AA28" s="16"/>
      <c r="AB28" s="16"/>
      <c r="AC28" s="16"/>
      <c r="AE28" s="19">
        <v>15.99</v>
      </c>
      <c r="AF28" s="21">
        <v>609.04999999999995</v>
      </c>
      <c r="AG28" s="16"/>
      <c r="AH28" s="16"/>
      <c r="AI28" s="16"/>
      <c r="AK28" s="19">
        <v>19.535</v>
      </c>
      <c r="AL28" s="21">
        <v>593.65</v>
      </c>
      <c r="AM28" s="16"/>
      <c r="AN28" s="16"/>
      <c r="AO28" s="16"/>
      <c r="AQ28" s="19">
        <v>19.535</v>
      </c>
      <c r="AR28" s="21">
        <v>593.65</v>
      </c>
      <c r="AS28" s="16"/>
      <c r="AT28" s="16"/>
      <c r="AU28" s="16"/>
      <c r="AW28" s="19">
        <v>19.535</v>
      </c>
      <c r="AX28" s="21">
        <v>593.65</v>
      </c>
      <c r="AY28" s="16"/>
      <c r="AZ28" s="16"/>
      <c r="BA28" s="16"/>
      <c r="BC28" s="19">
        <v>18.95</v>
      </c>
      <c r="BD28" s="21">
        <v>578.52</v>
      </c>
      <c r="BE28" s="16"/>
      <c r="BF28" s="16"/>
      <c r="BG28" s="16"/>
      <c r="BI28" s="19">
        <v>18.95</v>
      </c>
      <c r="BJ28" s="21">
        <v>578.52</v>
      </c>
      <c r="BK28" s="16"/>
      <c r="BL28" s="16"/>
      <c r="BM28" s="16"/>
      <c r="BO28" s="19">
        <v>19.934999999999999</v>
      </c>
      <c r="BP28" s="21">
        <v>593.14</v>
      </c>
      <c r="BQ28" s="16"/>
      <c r="BR28" s="16"/>
      <c r="BS28" s="16"/>
      <c r="BV28" s="19">
        <v>19.934999999999999</v>
      </c>
      <c r="BW28" s="21">
        <v>593.14</v>
      </c>
      <c r="BX28" s="16"/>
      <c r="BY28" s="16"/>
      <c r="BZ28" s="16"/>
    </row>
    <row r="29" spans="1:78" ht="15">
      <c r="A29" s="19">
        <v>17.62</v>
      </c>
      <c r="B29" s="21">
        <v>600.75300000000004</v>
      </c>
      <c r="C29" s="16"/>
      <c r="D29" s="16"/>
      <c r="E29" s="16"/>
      <c r="G29" s="16" t="s">
        <v>25</v>
      </c>
      <c r="H29" s="16"/>
      <c r="I29" s="16"/>
      <c r="J29" s="16"/>
      <c r="K29" s="16"/>
      <c r="M29" s="19">
        <v>18.855</v>
      </c>
      <c r="N29" s="21">
        <v>590.89499999999998</v>
      </c>
      <c r="O29" s="16" t="s">
        <v>18</v>
      </c>
      <c r="P29" s="16"/>
      <c r="Q29" s="16"/>
      <c r="S29" s="16"/>
      <c r="T29" s="16"/>
      <c r="U29" s="16"/>
      <c r="V29" s="16"/>
      <c r="W29" s="16"/>
      <c r="Y29" s="16"/>
      <c r="Z29" s="16"/>
      <c r="AA29" s="16"/>
      <c r="AB29" s="16"/>
      <c r="AC29" s="16"/>
      <c r="AE29" s="19">
        <v>17.823</v>
      </c>
      <c r="AF29" s="21">
        <v>602.23</v>
      </c>
      <c r="AG29" s="16"/>
      <c r="AH29" s="16"/>
      <c r="AI29" s="16"/>
      <c r="AK29" s="19">
        <v>20.309999999999999</v>
      </c>
      <c r="AL29" s="21">
        <v>593.37</v>
      </c>
      <c r="AM29" s="16"/>
      <c r="AN29" s="16"/>
      <c r="AO29" s="16"/>
      <c r="AQ29" s="19">
        <v>20.309999999999999</v>
      </c>
      <c r="AR29" s="21">
        <v>593.37</v>
      </c>
      <c r="AS29" s="16"/>
      <c r="AT29" s="16"/>
      <c r="AU29" s="16"/>
      <c r="AW29" s="19">
        <v>20.309999999999999</v>
      </c>
      <c r="AX29" s="21">
        <v>593.37</v>
      </c>
      <c r="AY29" s="16"/>
      <c r="AZ29" s="16"/>
      <c r="BA29" s="16"/>
      <c r="BC29" s="19">
        <v>19.98</v>
      </c>
      <c r="BD29" s="21">
        <v>584.04999999999995</v>
      </c>
      <c r="BE29" s="16"/>
      <c r="BF29" s="16"/>
      <c r="BG29" s="16"/>
      <c r="BI29" s="19">
        <v>19.98</v>
      </c>
      <c r="BJ29" s="21">
        <v>584.04999999999995</v>
      </c>
      <c r="BK29" s="16"/>
      <c r="BL29" s="16"/>
      <c r="BM29" s="16"/>
      <c r="BO29" s="19">
        <v>0.505</v>
      </c>
      <c r="BP29" s="21">
        <v>339.10899999999998</v>
      </c>
      <c r="BQ29" s="16" t="s">
        <v>233</v>
      </c>
      <c r="BR29" s="16"/>
      <c r="BS29" s="16"/>
      <c r="BV29" s="19">
        <v>0.505</v>
      </c>
      <c r="BW29" s="21">
        <v>339.10899999999998</v>
      </c>
      <c r="BX29" s="16" t="s">
        <v>233</v>
      </c>
      <c r="BY29" s="16"/>
      <c r="BZ29" s="16"/>
    </row>
    <row r="30" spans="1:78" ht="15">
      <c r="A30" s="19">
        <v>18.565000000000001</v>
      </c>
      <c r="B30" s="21">
        <v>611.154</v>
      </c>
      <c r="C30" s="16"/>
      <c r="D30" s="16"/>
      <c r="E30" s="16"/>
      <c r="G30" s="16" t="s">
        <v>26</v>
      </c>
      <c r="H30" s="16"/>
      <c r="I30" s="16"/>
      <c r="J30" s="16"/>
      <c r="K30" s="16"/>
      <c r="M30" s="19">
        <v>19.66</v>
      </c>
      <c r="N30" s="21">
        <v>594.29700000000003</v>
      </c>
      <c r="O30" s="16" t="s">
        <v>18</v>
      </c>
      <c r="P30" s="16"/>
      <c r="Q30" s="16"/>
      <c r="S30" s="16"/>
      <c r="T30" s="16"/>
      <c r="U30" s="16"/>
      <c r="V30" s="16"/>
      <c r="W30" s="16"/>
      <c r="Y30" s="16"/>
      <c r="Z30" s="16"/>
      <c r="AA30" s="16"/>
      <c r="AB30" s="16"/>
      <c r="AC30" s="16"/>
      <c r="AE30" s="19">
        <v>18.635000000000002</v>
      </c>
      <c r="AF30" s="21">
        <v>610.54999999999995</v>
      </c>
      <c r="AG30" s="16"/>
      <c r="AH30" s="16"/>
      <c r="AI30" s="16"/>
      <c r="AK30" s="19">
        <v>0.55800000000000005</v>
      </c>
      <c r="AL30" s="21">
        <v>337.84</v>
      </c>
      <c r="AM30" s="16" t="s">
        <v>18</v>
      </c>
      <c r="AN30" s="16"/>
      <c r="AO30" s="16"/>
      <c r="AQ30" s="19">
        <v>0.55800000000000005</v>
      </c>
      <c r="AR30" s="21">
        <v>337.84</v>
      </c>
      <c r="AS30" s="16" t="s">
        <v>18</v>
      </c>
      <c r="AT30" s="16"/>
      <c r="AU30" s="16"/>
      <c r="AW30" s="19">
        <v>0.55800000000000005</v>
      </c>
      <c r="AX30" s="21">
        <v>337.84</v>
      </c>
      <c r="AY30" s="16" t="s">
        <v>18</v>
      </c>
      <c r="AZ30" s="16"/>
      <c r="BA30" s="16"/>
      <c r="BC30" s="19">
        <v>21.04</v>
      </c>
      <c r="BD30" s="21">
        <v>590.66</v>
      </c>
      <c r="BE30" s="16"/>
      <c r="BF30" s="16"/>
      <c r="BG30" s="16"/>
      <c r="BI30" s="19">
        <v>21.04</v>
      </c>
      <c r="BJ30" s="21">
        <v>590.66</v>
      </c>
      <c r="BK30" s="16"/>
      <c r="BL30" s="16"/>
      <c r="BM30" s="16"/>
      <c r="BO30" s="19">
        <v>1.325</v>
      </c>
      <c r="BP30" s="21">
        <v>364.20600000000002</v>
      </c>
      <c r="BQ30" s="16"/>
      <c r="BR30" s="16"/>
      <c r="BS30" s="16"/>
      <c r="BV30" s="19">
        <v>1.325</v>
      </c>
      <c r="BW30" s="21">
        <v>364.20600000000002</v>
      </c>
      <c r="BX30" s="16"/>
      <c r="BY30" s="16"/>
      <c r="BZ30" s="16"/>
    </row>
    <row r="31" spans="1:78" ht="15">
      <c r="A31" s="19">
        <v>19.45</v>
      </c>
      <c r="B31" s="21">
        <v>613.20899999999995</v>
      </c>
      <c r="C31" s="16"/>
      <c r="D31" s="16"/>
      <c r="E31" s="16"/>
      <c r="G31" s="16" t="s">
        <v>27</v>
      </c>
      <c r="H31" s="16"/>
      <c r="I31" s="16"/>
      <c r="J31" s="16"/>
      <c r="K31" s="16"/>
      <c r="M31" s="19">
        <v>20.65</v>
      </c>
      <c r="N31" s="21">
        <v>610.86800000000005</v>
      </c>
      <c r="O31" s="16" t="s">
        <v>18</v>
      </c>
      <c r="P31" s="16"/>
      <c r="Q31" s="16"/>
      <c r="S31" s="16"/>
      <c r="T31" s="16"/>
      <c r="U31" s="16"/>
      <c r="V31" s="16"/>
      <c r="W31" s="16"/>
      <c r="Y31" s="16"/>
      <c r="Z31" s="16"/>
      <c r="AA31" s="16"/>
      <c r="AB31" s="16"/>
      <c r="AC31" s="16"/>
      <c r="AE31" s="16"/>
      <c r="AF31" s="16"/>
      <c r="AG31" s="16"/>
      <c r="AH31" s="16"/>
      <c r="AI31" s="16"/>
      <c r="AK31" s="19">
        <v>1.4430000000000001</v>
      </c>
      <c r="AL31" s="21">
        <v>358.73</v>
      </c>
      <c r="AM31" s="16" t="s">
        <v>230</v>
      </c>
      <c r="AN31" s="16"/>
      <c r="AO31" s="16"/>
      <c r="AQ31" s="19">
        <v>1.4430000000000001</v>
      </c>
      <c r="AR31" s="21">
        <v>358.73</v>
      </c>
      <c r="AS31" s="16" t="s">
        <v>230</v>
      </c>
      <c r="AT31" s="16"/>
      <c r="AU31" s="16"/>
      <c r="AW31" s="19">
        <v>1.4430000000000001</v>
      </c>
      <c r="AX31" s="21">
        <v>358.73</v>
      </c>
      <c r="AY31" s="16" t="s">
        <v>230</v>
      </c>
      <c r="AZ31" s="16"/>
      <c r="BA31" s="16"/>
      <c r="BC31" s="19">
        <v>22.1</v>
      </c>
      <c r="BD31" s="21">
        <v>603.24</v>
      </c>
      <c r="BE31" s="16"/>
      <c r="BF31" s="16"/>
      <c r="BG31" s="16"/>
      <c r="BI31" s="19">
        <v>22.1</v>
      </c>
      <c r="BJ31" s="21">
        <v>603.24</v>
      </c>
      <c r="BK31" s="16"/>
      <c r="BL31" s="16"/>
      <c r="BM31" s="16"/>
      <c r="BO31" s="19">
        <v>2.105</v>
      </c>
      <c r="BP31" s="21">
        <v>366.89600000000002</v>
      </c>
      <c r="BQ31" s="16"/>
      <c r="BR31" s="16"/>
      <c r="BS31" s="16"/>
      <c r="BV31" s="19">
        <v>2.105</v>
      </c>
      <c r="BW31" s="21">
        <v>366.89600000000002</v>
      </c>
      <c r="BX31" s="16"/>
      <c r="BY31" s="16"/>
      <c r="BZ31" s="16"/>
    </row>
    <row r="32" spans="1:78" ht="15">
      <c r="A32" s="16" t="s">
        <v>25</v>
      </c>
      <c r="B32" s="16"/>
      <c r="C32" s="16"/>
      <c r="D32" s="16"/>
      <c r="E32" s="16"/>
      <c r="G32" s="16" t="s">
        <v>28</v>
      </c>
      <c r="H32" s="16"/>
      <c r="I32" s="16"/>
      <c r="J32" s="16"/>
      <c r="K32" s="16"/>
      <c r="M32" s="16" t="s">
        <v>25</v>
      </c>
      <c r="N32" s="16"/>
      <c r="O32" s="16"/>
      <c r="P32" s="16"/>
      <c r="Q32" s="16"/>
      <c r="S32" s="16"/>
      <c r="T32" s="16"/>
      <c r="U32" s="16"/>
      <c r="V32" s="16"/>
      <c r="W32" s="16"/>
      <c r="Y32" s="16"/>
      <c r="Z32" s="16"/>
      <c r="AA32" s="16"/>
      <c r="AB32" s="16"/>
      <c r="AC32" s="16"/>
      <c r="AE32" s="16" t="s">
        <v>26</v>
      </c>
      <c r="AF32" s="16"/>
      <c r="AG32" s="16"/>
      <c r="AH32" s="16"/>
      <c r="AI32" s="16"/>
      <c r="AK32" s="19">
        <v>2.15</v>
      </c>
      <c r="AL32" s="21">
        <v>441.09</v>
      </c>
      <c r="AM32" s="16" t="s">
        <v>231</v>
      </c>
      <c r="AN32" s="16"/>
      <c r="AO32" s="16"/>
      <c r="AQ32" s="19">
        <v>2.15</v>
      </c>
      <c r="AR32" s="21">
        <v>441.09</v>
      </c>
      <c r="AS32" s="16" t="s">
        <v>231</v>
      </c>
      <c r="AT32" s="16"/>
      <c r="AU32" s="16"/>
      <c r="AW32" s="19">
        <v>2.15</v>
      </c>
      <c r="AX32" s="21">
        <v>441.09</v>
      </c>
      <c r="AY32" s="16" t="s">
        <v>231</v>
      </c>
      <c r="AZ32" s="16"/>
      <c r="BA32" s="16"/>
      <c r="BC32" s="19">
        <v>23.085000000000001</v>
      </c>
      <c r="BD32" s="21">
        <v>607.21</v>
      </c>
      <c r="BE32" s="16"/>
      <c r="BF32" s="16"/>
      <c r="BG32" s="16"/>
      <c r="BI32" s="19">
        <v>23.085000000000001</v>
      </c>
      <c r="BJ32" s="21">
        <v>607.21</v>
      </c>
      <c r="BK32" s="16"/>
      <c r="BL32" s="16"/>
      <c r="BM32" s="16"/>
      <c r="BO32" s="19">
        <v>3.03</v>
      </c>
      <c r="BP32" s="21">
        <v>383.76</v>
      </c>
      <c r="BQ32" s="16"/>
      <c r="BR32" s="16"/>
      <c r="BS32" s="16"/>
      <c r="BV32" s="19">
        <v>3.03</v>
      </c>
      <c r="BW32" s="21">
        <v>383.76</v>
      </c>
      <c r="BX32" s="16"/>
      <c r="BY32" s="16"/>
      <c r="BZ32" s="16"/>
    </row>
    <row r="33" spans="1:78" ht="15">
      <c r="A33" s="16" t="s">
        <v>26</v>
      </c>
      <c r="B33" s="16"/>
      <c r="C33" s="16"/>
      <c r="D33" s="16"/>
      <c r="E33" s="16"/>
      <c r="G33" s="16" t="s">
        <v>163</v>
      </c>
      <c r="H33" s="16"/>
      <c r="I33" s="16"/>
      <c r="J33" s="16"/>
      <c r="K33" s="16"/>
      <c r="M33" s="16" t="s">
        <v>26</v>
      </c>
      <c r="N33" s="16"/>
      <c r="O33" s="16"/>
      <c r="P33" s="16"/>
      <c r="Q33" s="16"/>
      <c r="AE33" s="16" t="s">
        <v>27</v>
      </c>
      <c r="AF33" s="16"/>
      <c r="AG33" s="16"/>
      <c r="AH33" s="16"/>
      <c r="AI33" s="16"/>
      <c r="AK33" s="19">
        <v>3.0880000000000001</v>
      </c>
      <c r="AL33" s="21">
        <v>406.37</v>
      </c>
      <c r="AM33" s="16" t="s">
        <v>219</v>
      </c>
      <c r="AN33" s="16"/>
      <c r="AO33" s="16"/>
      <c r="AQ33" s="19">
        <v>3.0880000000000001</v>
      </c>
      <c r="AR33" s="21">
        <v>406.37</v>
      </c>
      <c r="AS33" s="16" t="s">
        <v>219</v>
      </c>
      <c r="AT33" s="16"/>
      <c r="AU33" s="16"/>
      <c r="AW33" s="19">
        <v>3.0880000000000001</v>
      </c>
      <c r="AX33" s="21">
        <v>406.37</v>
      </c>
      <c r="AY33" s="16" t="s">
        <v>219</v>
      </c>
      <c r="AZ33" s="16"/>
      <c r="BA33" s="16"/>
      <c r="BC33" s="19"/>
      <c r="BD33" s="21"/>
      <c r="BE33" s="16"/>
      <c r="BF33" s="16"/>
      <c r="BG33" s="16"/>
      <c r="BI33" s="19">
        <v>0.54</v>
      </c>
      <c r="BJ33" s="21">
        <v>355.26</v>
      </c>
      <c r="BK33" s="16" t="s">
        <v>18</v>
      </c>
      <c r="BL33" s="16"/>
      <c r="BM33" s="16"/>
      <c r="BO33" s="19">
        <v>4.2050000000000001</v>
      </c>
      <c r="BP33" s="21">
        <v>401.40600000000001</v>
      </c>
      <c r="BQ33" s="16"/>
      <c r="BR33" s="16"/>
      <c r="BS33" s="16"/>
      <c r="BV33" s="19">
        <v>4.2050000000000001</v>
      </c>
      <c r="BW33" s="21">
        <v>401.40600000000001</v>
      </c>
      <c r="BX33" s="16"/>
      <c r="BY33" s="16"/>
      <c r="BZ33" s="16"/>
    </row>
    <row r="34" spans="1:78" ht="15">
      <c r="A34" s="16" t="s">
        <v>27</v>
      </c>
      <c r="B34" s="16"/>
      <c r="C34" s="16"/>
      <c r="D34" s="16"/>
      <c r="E34" s="16"/>
      <c r="G34" s="16" t="s">
        <v>164</v>
      </c>
      <c r="H34" s="16"/>
      <c r="I34" s="16"/>
      <c r="J34" s="16"/>
      <c r="K34" s="16"/>
      <c r="M34" s="16" t="s">
        <v>27</v>
      </c>
      <c r="N34" s="16"/>
      <c r="O34" s="16"/>
      <c r="P34" s="16"/>
      <c r="Q34" s="16"/>
      <c r="AE34" s="16" t="s">
        <v>28</v>
      </c>
      <c r="AF34" s="16"/>
      <c r="AG34" s="16"/>
      <c r="AH34" s="16"/>
      <c r="AI34" s="16"/>
      <c r="AK34" s="19">
        <v>4.0999999999999996</v>
      </c>
      <c r="AL34" s="21">
        <v>472.14</v>
      </c>
      <c r="AM34" s="16"/>
      <c r="AN34" s="16"/>
      <c r="AO34" s="16"/>
      <c r="AQ34" s="19">
        <v>4.0999999999999996</v>
      </c>
      <c r="AR34" s="21">
        <v>472.14</v>
      </c>
      <c r="AS34" s="16"/>
      <c r="AT34" s="16"/>
      <c r="AU34" s="16"/>
      <c r="AW34" s="19">
        <v>4.0999999999999996</v>
      </c>
      <c r="AX34" s="21">
        <v>472.14</v>
      </c>
      <c r="AY34" s="16"/>
      <c r="AZ34" s="16"/>
      <c r="BA34" s="16"/>
      <c r="BC34" s="16" t="s">
        <v>26</v>
      </c>
      <c r="BD34" s="21"/>
      <c r="BE34" s="16"/>
      <c r="BF34" s="16"/>
      <c r="BG34" s="16"/>
      <c r="BI34" s="19">
        <v>1.395</v>
      </c>
      <c r="BJ34" s="21">
        <v>382.05</v>
      </c>
      <c r="BK34" s="16" t="s">
        <v>220</v>
      </c>
      <c r="BL34" s="16"/>
      <c r="BM34" s="16"/>
      <c r="BO34" s="19">
        <v>5.38</v>
      </c>
      <c r="BP34" s="21">
        <v>433.23899999999998</v>
      </c>
      <c r="BQ34" s="16"/>
      <c r="BR34" s="16"/>
      <c r="BS34" s="16"/>
      <c r="BV34" s="19">
        <v>5.38</v>
      </c>
      <c r="BW34" s="21">
        <v>433.23899999999998</v>
      </c>
      <c r="BX34" s="16"/>
      <c r="BY34" s="16"/>
      <c r="BZ34" s="16"/>
    </row>
    <row r="35" spans="1:78" ht="15">
      <c r="A35" s="16" t="s">
        <v>28</v>
      </c>
      <c r="B35" s="16"/>
      <c r="C35" s="16"/>
      <c r="D35" s="16"/>
      <c r="E35" s="16"/>
      <c r="G35" s="16" t="s">
        <v>165</v>
      </c>
      <c r="H35" s="16"/>
      <c r="I35" s="16"/>
      <c r="J35" s="16"/>
      <c r="K35" s="16"/>
      <c r="M35" s="16" t="s">
        <v>28</v>
      </c>
      <c r="N35" s="16"/>
      <c r="O35" s="16"/>
      <c r="P35" s="16"/>
      <c r="Q35" s="16"/>
      <c r="AE35" s="16"/>
      <c r="AF35" s="16"/>
      <c r="AG35" s="16"/>
      <c r="AH35" s="16"/>
      <c r="AI35" s="16"/>
      <c r="AK35" s="19">
        <v>5.2350000000000003</v>
      </c>
      <c r="AL35" s="21">
        <v>474.14</v>
      </c>
      <c r="AM35" s="16"/>
      <c r="AN35" s="16"/>
      <c r="AO35" s="16"/>
      <c r="AQ35" s="19">
        <v>5.2350000000000003</v>
      </c>
      <c r="AR35" s="21">
        <v>474.14</v>
      </c>
      <c r="AS35" s="16"/>
      <c r="AT35" s="16"/>
      <c r="AU35" s="16"/>
      <c r="AW35" s="19">
        <v>5.2350000000000003</v>
      </c>
      <c r="AX35" s="21">
        <v>474.14</v>
      </c>
      <c r="AY35" s="16"/>
      <c r="AZ35" s="16"/>
      <c r="BA35" s="16"/>
      <c r="BC35" s="16" t="s">
        <v>27</v>
      </c>
      <c r="BD35" s="21"/>
      <c r="BE35" s="16"/>
      <c r="BF35" s="16"/>
      <c r="BG35" s="16"/>
      <c r="BI35" s="19">
        <v>2.0499999999999998</v>
      </c>
      <c r="BJ35" s="21">
        <v>392.88</v>
      </c>
      <c r="BK35" s="16" t="s">
        <v>254</v>
      </c>
      <c r="BL35" s="16"/>
      <c r="BM35" s="16"/>
      <c r="BO35" s="19">
        <v>6.375</v>
      </c>
      <c r="BP35" s="21">
        <v>440.053</v>
      </c>
      <c r="BQ35" s="16"/>
      <c r="BR35" s="16"/>
      <c r="BS35" s="16"/>
      <c r="BV35" s="19">
        <v>6.375</v>
      </c>
      <c r="BW35" s="21">
        <v>440.053</v>
      </c>
      <c r="BX35" s="16"/>
      <c r="BY35" s="16"/>
      <c r="BZ35" s="16"/>
    </row>
    <row r="36" spans="1:78" ht="15">
      <c r="A36" s="16" t="s">
        <v>163</v>
      </c>
      <c r="B36" s="16"/>
      <c r="C36" s="16"/>
      <c r="D36" s="16"/>
      <c r="E36" s="16"/>
      <c r="G36" s="16" t="s">
        <v>166</v>
      </c>
      <c r="H36" s="16"/>
      <c r="I36" s="16"/>
      <c r="J36" s="16"/>
      <c r="K36" s="16"/>
      <c r="M36" s="16" t="s">
        <v>163</v>
      </c>
      <c r="N36" s="16"/>
      <c r="O36" s="16"/>
      <c r="P36" s="16"/>
      <c r="Q36" s="16"/>
      <c r="AE36" s="16"/>
      <c r="AF36" s="16"/>
      <c r="AG36" s="16"/>
      <c r="AH36" s="16"/>
      <c r="AI36" s="16"/>
      <c r="AK36" s="19">
        <v>6.3</v>
      </c>
      <c r="AL36" s="21">
        <v>518.16</v>
      </c>
      <c r="AM36" s="16"/>
      <c r="AN36" s="16"/>
      <c r="AO36" s="16"/>
      <c r="AQ36" s="19">
        <v>6.3</v>
      </c>
      <c r="AR36" s="21">
        <v>518.16</v>
      </c>
      <c r="AS36" s="16"/>
      <c r="AT36" s="16"/>
      <c r="AU36" s="16"/>
      <c r="AW36" s="19">
        <v>6.3</v>
      </c>
      <c r="AX36" s="21">
        <v>518.16</v>
      </c>
      <c r="AY36" s="16"/>
      <c r="AZ36" s="16"/>
      <c r="BA36" s="16"/>
      <c r="BC36" s="16" t="s">
        <v>28</v>
      </c>
      <c r="BD36" s="21"/>
      <c r="BE36" s="16"/>
      <c r="BF36" s="16"/>
      <c r="BG36" s="16"/>
      <c r="BI36" s="19">
        <v>2.7879999999999998</v>
      </c>
      <c r="BJ36" s="21">
        <v>454.13</v>
      </c>
      <c r="BK36" s="16" t="s">
        <v>219</v>
      </c>
      <c r="BL36" s="16"/>
      <c r="BM36" s="16"/>
      <c r="BO36" s="19">
        <v>7.4429999999999996</v>
      </c>
      <c r="BP36" s="21">
        <v>462.56</v>
      </c>
      <c r="BQ36" s="16"/>
      <c r="BR36" s="16"/>
      <c r="BS36" s="16"/>
      <c r="BV36" s="19">
        <v>7.4429999999999996</v>
      </c>
      <c r="BW36" s="21">
        <v>462.56</v>
      </c>
      <c r="BX36" s="16"/>
      <c r="BY36" s="16"/>
      <c r="BZ36" s="16"/>
    </row>
    <row r="37" spans="1:78" ht="15">
      <c r="A37" s="16" t="s">
        <v>164</v>
      </c>
      <c r="B37" s="16"/>
      <c r="C37" s="16"/>
      <c r="D37" s="16"/>
      <c r="E37" s="16"/>
      <c r="G37" s="16"/>
      <c r="H37" s="16"/>
      <c r="I37" s="16"/>
      <c r="J37" s="16"/>
      <c r="K37" s="16"/>
      <c r="M37" s="16" t="s">
        <v>164</v>
      </c>
      <c r="N37" s="16"/>
      <c r="O37" s="16"/>
      <c r="P37" s="16"/>
      <c r="Q37" s="16"/>
      <c r="AE37" s="16"/>
      <c r="AF37" s="16"/>
      <c r="AG37" s="16"/>
      <c r="AH37" s="16"/>
      <c r="AI37" s="16"/>
      <c r="AK37" s="19">
        <v>7.2380000000000004</v>
      </c>
      <c r="AL37" s="21">
        <v>510.89</v>
      </c>
      <c r="AM37" s="16"/>
      <c r="AN37" s="16"/>
      <c r="AO37" s="16"/>
      <c r="AQ37" s="19">
        <v>7.2380000000000004</v>
      </c>
      <c r="AR37" s="21">
        <v>510.89</v>
      </c>
      <c r="AS37" s="16"/>
      <c r="AT37" s="16"/>
      <c r="AU37" s="16"/>
      <c r="AW37" s="19">
        <v>7.2380000000000004</v>
      </c>
      <c r="AX37" s="21">
        <v>510.89</v>
      </c>
      <c r="AY37" s="16"/>
      <c r="AZ37" s="16"/>
      <c r="BA37" s="16"/>
      <c r="BC37" s="19"/>
      <c r="BD37" s="21"/>
      <c r="BE37" s="16"/>
      <c r="BF37" s="16"/>
      <c r="BG37" s="16"/>
      <c r="BI37" s="19">
        <v>3.73</v>
      </c>
      <c r="BJ37" s="21">
        <v>444.12</v>
      </c>
      <c r="BK37" s="16"/>
      <c r="BL37" s="16"/>
      <c r="BM37" s="16"/>
      <c r="BO37" s="19">
        <v>8.52</v>
      </c>
      <c r="BP37" s="21">
        <v>477.05900000000003</v>
      </c>
      <c r="BQ37" s="16"/>
      <c r="BR37" s="16"/>
      <c r="BS37" s="16"/>
      <c r="BV37" s="19">
        <v>8.52</v>
      </c>
      <c r="BW37" s="21">
        <v>477.05900000000003</v>
      </c>
      <c r="BX37" s="16"/>
      <c r="BY37" s="16"/>
      <c r="BZ37" s="16"/>
    </row>
    <row r="38" spans="1:78" ht="15">
      <c r="A38" s="16" t="s">
        <v>165</v>
      </c>
      <c r="B38" s="16"/>
      <c r="C38" s="16"/>
      <c r="D38" s="16"/>
      <c r="E38" s="16"/>
      <c r="G38" s="16"/>
      <c r="H38" s="16"/>
      <c r="I38" s="16"/>
      <c r="J38" s="16"/>
      <c r="K38" s="16"/>
      <c r="M38" s="16" t="s">
        <v>165</v>
      </c>
      <c r="N38" s="16"/>
      <c r="O38" s="16"/>
      <c r="P38" s="16"/>
      <c r="Q38" s="16"/>
      <c r="AK38" s="19">
        <v>8.218</v>
      </c>
      <c r="AL38" s="21">
        <v>510.69</v>
      </c>
      <c r="AM38" s="16"/>
      <c r="AN38" s="16"/>
      <c r="AO38" s="16"/>
      <c r="AQ38" s="19">
        <v>8.218</v>
      </c>
      <c r="AR38" s="21">
        <v>510.69</v>
      </c>
      <c r="AS38" s="16"/>
      <c r="AT38" s="16"/>
      <c r="AU38" s="16"/>
      <c r="AW38" s="19">
        <v>8.218</v>
      </c>
      <c r="AX38" s="21">
        <v>510.69</v>
      </c>
      <c r="AY38" s="16"/>
      <c r="AZ38" s="16"/>
      <c r="BA38" s="16"/>
      <c r="BC38" s="19"/>
      <c r="BD38" s="21"/>
      <c r="BE38" s="16"/>
      <c r="BF38" s="16"/>
      <c r="BG38" s="16"/>
      <c r="BI38" s="19">
        <v>4.798</v>
      </c>
      <c r="BJ38" s="21">
        <v>453.72</v>
      </c>
      <c r="BK38" s="16"/>
      <c r="BL38" s="16"/>
      <c r="BM38" s="16"/>
      <c r="BO38" s="19">
        <v>9.5530000000000008</v>
      </c>
      <c r="BP38" s="21">
        <v>492.24</v>
      </c>
      <c r="BQ38" s="16"/>
      <c r="BR38" s="16"/>
      <c r="BS38" s="16"/>
      <c r="BV38" s="19">
        <v>9.5530000000000008</v>
      </c>
      <c r="BW38" s="21">
        <v>492.24</v>
      </c>
      <c r="BX38" s="16"/>
      <c r="BY38" s="16"/>
      <c r="BZ38" s="16"/>
    </row>
    <row r="39" spans="1:78" ht="15">
      <c r="A39" s="16" t="s">
        <v>166</v>
      </c>
      <c r="B39" s="16"/>
      <c r="C39" s="16"/>
      <c r="D39" s="16"/>
      <c r="E39" s="16"/>
      <c r="G39" s="16"/>
      <c r="H39" s="16"/>
      <c r="I39" s="16"/>
      <c r="J39" s="16"/>
      <c r="K39" s="16"/>
      <c r="M39" s="16" t="s">
        <v>166</v>
      </c>
      <c r="N39" s="16"/>
      <c r="O39" s="16"/>
      <c r="P39" s="16"/>
      <c r="Q39" s="16"/>
      <c r="AK39" s="19">
        <v>9.2680000000000007</v>
      </c>
      <c r="AL39" s="21">
        <v>521.20000000000005</v>
      </c>
      <c r="AM39" s="16"/>
      <c r="AN39" s="16"/>
      <c r="AO39" s="16"/>
      <c r="AQ39" s="19">
        <v>9.2680000000000007</v>
      </c>
      <c r="AR39" s="21">
        <v>521.20000000000005</v>
      </c>
      <c r="AS39" s="16"/>
      <c r="AT39" s="16"/>
      <c r="AU39" s="16"/>
      <c r="AW39" s="19">
        <v>9.2680000000000007</v>
      </c>
      <c r="AX39" s="21">
        <v>521.20000000000005</v>
      </c>
      <c r="AY39" s="16"/>
      <c r="AZ39" s="16"/>
      <c r="BA39" s="16"/>
      <c r="BC39" s="19"/>
      <c r="BD39" s="21"/>
      <c r="BE39" s="16"/>
      <c r="BF39" s="16"/>
      <c r="BG39" s="16"/>
      <c r="BI39" s="19">
        <v>5.8780000000000001</v>
      </c>
      <c r="BJ39" s="21">
        <v>488.62</v>
      </c>
      <c r="BK39" s="16"/>
      <c r="BL39" s="16"/>
      <c r="BM39" s="16"/>
      <c r="BO39" s="19">
        <v>10.438000000000001</v>
      </c>
      <c r="BP39" s="21">
        <v>501.20100000000002</v>
      </c>
      <c r="BQ39" s="16"/>
      <c r="BR39" s="16"/>
      <c r="BS39" s="16"/>
      <c r="BV39" s="19">
        <v>10.438000000000001</v>
      </c>
      <c r="BW39" s="21">
        <v>501.20100000000002</v>
      </c>
      <c r="BX39" s="16"/>
      <c r="BY39" s="16"/>
      <c r="BZ39" s="16"/>
    </row>
    <row r="40" spans="1:78" ht="15">
      <c r="A40" s="16"/>
      <c r="B40" s="16"/>
      <c r="C40" s="16"/>
      <c r="D40" s="16"/>
      <c r="E40" s="16"/>
      <c r="M40" s="16"/>
      <c r="N40" s="16"/>
      <c r="O40" s="16"/>
      <c r="P40" s="16"/>
      <c r="Q40" s="16"/>
      <c r="AK40" s="19">
        <v>10.26</v>
      </c>
      <c r="AL40" s="21">
        <v>528.6</v>
      </c>
      <c r="AM40" s="16"/>
      <c r="AN40" s="16"/>
      <c r="AO40" s="16"/>
      <c r="AQ40" s="19">
        <v>10.26</v>
      </c>
      <c r="AR40" s="21">
        <v>528.6</v>
      </c>
      <c r="AS40" s="16"/>
      <c r="AT40" s="16"/>
      <c r="AU40" s="16"/>
      <c r="AW40" s="19">
        <v>10.26</v>
      </c>
      <c r="AX40" s="21">
        <v>528.6</v>
      </c>
      <c r="AY40" s="16"/>
      <c r="AZ40" s="16"/>
      <c r="BA40" s="16"/>
      <c r="BI40" s="19">
        <v>7.0129999999999999</v>
      </c>
      <c r="BJ40" s="21">
        <v>499.96</v>
      </c>
      <c r="BK40" s="16"/>
      <c r="BL40" s="16"/>
      <c r="BM40" s="16"/>
      <c r="BO40" s="19"/>
      <c r="BP40" s="21"/>
      <c r="BQ40" s="16"/>
      <c r="BR40" s="16"/>
      <c r="BS40" s="16"/>
      <c r="BV40" s="19"/>
      <c r="BW40" s="21"/>
      <c r="BX40" s="16"/>
      <c r="BY40" s="16"/>
      <c r="BZ40" s="16"/>
    </row>
    <row r="41" spans="1:78" ht="15">
      <c r="A41" s="16"/>
      <c r="B41" s="16"/>
      <c r="C41" s="16"/>
      <c r="D41" s="16"/>
      <c r="E41" s="16"/>
      <c r="M41" s="16"/>
      <c r="N41" s="16"/>
      <c r="O41" s="16"/>
      <c r="P41" s="16"/>
      <c r="Q41" s="16"/>
      <c r="AK41" s="19">
        <v>11.244999999999999</v>
      </c>
      <c r="AL41" s="21">
        <v>558.79999999999995</v>
      </c>
      <c r="AM41" s="16"/>
      <c r="AN41" s="16"/>
      <c r="AO41" s="16"/>
      <c r="AQ41" s="19">
        <v>11.244999999999999</v>
      </c>
      <c r="AR41" s="21">
        <v>558.79999999999995</v>
      </c>
      <c r="AS41" s="16"/>
      <c r="AT41" s="16"/>
      <c r="AU41" s="16"/>
      <c r="AW41" s="19">
        <v>11.244999999999999</v>
      </c>
      <c r="AX41" s="21">
        <v>558.79999999999995</v>
      </c>
      <c r="AY41" s="16"/>
      <c r="AZ41" s="16"/>
      <c r="BA41" s="16"/>
      <c r="BI41" s="19">
        <v>7.8479999999999999</v>
      </c>
      <c r="BJ41" s="21">
        <v>536.26</v>
      </c>
      <c r="BK41" s="16"/>
      <c r="BL41" s="16"/>
      <c r="BM41" s="16"/>
      <c r="BO41" s="16" t="s">
        <v>26</v>
      </c>
      <c r="BP41" s="21"/>
      <c r="BQ41" s="16"/>
      <c r="BR41" s="16"/>
      <c r="BS41" s="16"/>
      <c r="BV41" s="16" t="s">
        <v>26</v>
      </c>
      <c r="BW41" s="21"/>
      <c r="BX41" s="16"/>
      <c r="BY41" s="16"/>
      <c r="BZ41" s="16"/>
    </row>
    <row r="42" spans="1:78" ht="15">
      <c r="A42" s="16"/>
      <c r="B42" s="16"/>
      <c r="C42" s="16"/>
      <c r="D42" s="16"/>
      <c r="E42" s="16"/>
      <c r="AK42" s="19">
        <v>12.257999999999999</v>
      </c>
      <c r="AL42" s="21">
        <v>557.72</v>
      </c>
      <c r="AM42" s="16"/>
      <c r="AN42" s="16"/>
      <c r="AO42" s="16"/>
      <c r="AQ42" s="19">
        <v>12.257999999999999</v>
      </c>
      <c r="AR42" s="21">
        <v>557.72</v>
      </c>
      <c r="AS42" s="16"/>
      <c r="AT42" s="16"/>
      <c r="AU42" s="16"/>
      <c r="AW42" s="19">
        <v>12.257999999999999</v>
      </c>
      <c r="AX42" s="21">
        <v>557.72</v>
      </c>
      <c r="AY42" s="16"/>
      <c r="AZ42" s="16"/>
      <c r="BA42" s="16"/>
      <c r="BI42" s="19">
        <v>8.5500000000000007</v>
      </c>
      <c r="BJ42" s="21">
        <v>519.05999999999995</v>
      </c>
      <c r="BK42" s="16"/>
      <c r="BL42" s="16"/>
      <c r="BM42" s="16"/>
      <c r="BO42" s="16" t="s">
        <v>27</v>
      </c>
      <c r="BP42" s="21"/>
      <c r="BQ42" s="16"/>
      <c r="BR42" s="16"/>
      <c r="BS42" s="16"/>
      <c r="BV42" s="16" t="s">
        <v>27</v>
      </c>
      <c r="BW42" s="21"/>
      <c r="BX42" s="16"/>
      <c r="BY42" s="16"/>
      <c r="BZ42" s="16"/>
    </row>
    <row r="43" spans="1:78" ht="15">
      <c r="AK43" s="19">
        <v>13.13</v>
      </c>
      <c r="AL43" s="21">
        <v>562.01</v>
      </c>
      <c r="AM43" s="16"/>
      <c r="AN43" s="16"/>
      <c r="AO43" s="16"/>
      <c r="AQ43" s="19">
        <v>13.13</v>
      </c>
      <c r="AR43" s="21">
        <v>562.01</v>
      </c>
      <c r="AS43" s="16"/>
      <c r="AT43" s="16"/>
      <c r="AU43" s="16"/>
      <c r="AW43" s="19">
        <v>13.13</v>
      </c>
      <c r="AX43" s="21">
        <v>562.01</v>
      </c>
      <c r="AY43" s="16"/>
      <c r="AZ43" s="16"/>
      <c r="BA43" s="16"/>
      <c r="BI43" s="19">
        <v>9.4450000000000003</v>
      </c>
      <c r="BJ43" s="21">
        <v>546.69000000000005</v>
      </c>
      <c r="BK43" s="16"/>
      <c r="BL43" s="16"/>
      <c r="BM43" s="16"/>
      <c r="BO43" s="16" t="s">
        <v>28</v>
      </c>
      <c r="BP43" s="21"/>
      <c r="BQ43" s="16"/>
      <c r="BR43" s="16"/>
      <c r="BS43" s="16"/>
      <c r="BV43" s="16" t="s">
        <v>28</v>
      </c>
      <c r="BW43" s="21"/>
      <c r="BX43" s="16"/>
      <c r="BY43" s="16"/>
      <c r="BZ43" s="16"/>
    </row>
    <row r="44" spans="1:78" ht="15">
      <c r="AK44" s="19">
        <v>14.026999999999999</v>
      </c>
      <c r="AL44" s="21">
        <v>570.46</v>
      </c>
      <c r="AM44" s="16"/>
      <c r="AN44" s="16"/>
      <c r="AO44" s="16"/>
      <c r="AQ44" s="19">
        <v>14.026999999999999</v>
      </c>
      <c r="AR44" s="21">
        <v>570.46</v>
      </c>
      <c r="AS44" s="16"/>
      <c r="AT44" s="16"/>
      <c r="AU44" s="16"/>
      <c r="AW44" s="19">
        <v>14.026999999999999</v>
      </c>
      <c r="AX44" s="21">
        <v>570.46</v>
      </c>
      <c r="AY44" s="16"/>
      <c r="AZ44" s="16"/>
      <c r="BA44" s="16"/>
      <c r="BI44" s="19">
        <v>10.507999999999999</v>
      </c>
      <c r="BJ44" s="21">
        <v>557.44000000000005</v>
      </c>
      <c r="BK44" s="16"/>
      <c r="BL44" s="16"/>
      <c r="BM44" s="16"/>
      <c r="BO44" s="19"/>
      <c r="BP44" s="21"/>
      <c r="BQ44" s="16"/>
      <c r="BR44" s="16"/>
      <c r="BS44" s="16"/>
      <c r="BV44" s="16"/>
      <c r="BW44" s="16"/>
      <c r="BX44" s="16"/>
      <c r="BY44" s="16"/>
      <c r="BZ44" s="16"/>
    </row>
    <row r="45" spans="1:78" ht="15">
      <c r="AK45" s="19">
        <v>14.855</v>
      </c>
      <c r="AL45" s="21">
        <v>571.99</v>
      </c>
      <c r="AM45" s="16"/>
      <c r="AN45" s="16"/>
      <c r="AO45" s="16"/>
      <c r="AQ45" s="19">
        <v>14.855</v>
      </c>
      <c r="AR45" s="21">
        <v>571.99</v>
      </c>
      <c r="AS45" s="16"/>
      <c r="AT45" s="16"/>
      <c r="AU45" s="16"/>
      <c r="AW45" s="19">
        <v>14.855</v>
      </c>
      <c r="AX45" s="21">
        <v>571.99</v>
      </c>
      <c r="AY45" s="16"/>
      <c r="AZ45" s="16"/>
      <c r="BA45" s="16"/>
      <c r="BI45" s="19">
        <v>11.475</v>
      </c>
      <c r="BJ45" s="21">
        <v>544.74</v>
      </c>
      <c r="BK45" s="16"/>
      <c r="BL45" s="16"/>
      <c r="BM45" s="16"/>
      <c r="BO45" s="19"/>
      <c r="BP45" s="21"/>
      <c r="BQ45" s="16"/>
      <c r="BR45" s="16"/>
      <c r="BS45" s="16"/>
      <c r="BV45" s="16"/>
      <c r="BW45" s="16"/>
      <c r="BX45" s="16"/>
      <c r="BY45" s="16"/>
      <c r="BZ45" s="16"/>
    </row>
    <row r="46" spans="1:78" ht="15">
      <c r="AK46" s="19">
        <v>15.802</v>
      </c>
      <c r="AL46" s="21">
        <v>562.27</v>
      </c>
      <c r="AM46" s="16"/>
      <c r="AN46" s="16"/>
      <c r="AO46" s="16"/>
      <c r="AQ46" s="19">
        <v>15.802</v>
      </c>
      <c r="AR46" s="21">
        <v>562.27</v>
      </c>
      <c r="AS46" s="16"/>
      <c r="AT46" s="16"/>
      <c r="AU46" s="16"/>
      <c r="AW46" s="19">
        <v>15.802</v>
      </c>
      <c r="AX46" s="21">
        <v>562.27</v>
      </c>
      <c r="AY46" s="16"/>
      <c r="AZ46" s="16"/>
      <c r="BA46" s="16"/>
      <c r="BI46" s="19">
        <v>12.333</v>
      </c>
      <c r="BJ46" s="21">
        <v>563.13</v>
      </c>
      <c r="BK46" s="16"/>
      <c r="BL46" s="16"/>
      <c r="BM46" s="16"/>
      <c r="BO46" s="19"/>
      <c r="BP46" s="21"/>
      <c r="BQ46" s="16"/>
      <c r="BR46" s="16"/>
      <c r="BS46" s="16"/>
      <c r="BV46" s="16"/>
      <c r="BW46" s="16"/>
      <c r="BX46" s="16"/>
      <c r="BY46" s="16"/>
      <c r="BZ46" s="16"/>
    </row>
    <row r="47" spans="1:78" ht="15">
      <c r="AK47" s="19">
        <v>16.963000000000001</v>
      </c>
      <c r="AL47" s="21">
        <v>591.79999999999995</v>
      </c>
      <c r="AM47" s="16"/>
      <c r="AN47" s="16"/>
      <c r="AO47" s="16"/>
      <c r="AQ47" s="19">
        <v>16.963000000000001</v>
      </c>
      <c r="AR47" s="21">
        <v>591.79999999999995</v>
      </c>
      <c r="AS47" s="16"/>
      <c r="AT47" s="16"/>
      <c r="AU47" s="16"/>
      <c r="AW47" s="19">
        <v>16.963000000000001</v>
      </c>
      <c r="AX47" s="21">
        <v>591.79999999999995</v>
      </c>
      <c r="AY47" s="16"/>
      <c r="AZ47" s="16"/>
      <c r="BA47" s="16"/>
      <c r="BI47" s="19">
        <v>13.303000000000001</v>
      </c>
      <c r="BJ47" s="21">
        <v>573.69000000000005</v>
      </c>
      <c r="BK47" s="16"/>
      <c r="BL47" s="16"/>
      <c r="BM47" s="16"/>
      <c r="BV47" s="16"/>
      <c r="BW47" s="16"/>
      <c r="BX47" s="16"/>
      <c r="BY47" s="16"/>
      <c r="BZ47" s="16"/>
    </row>
    <row r="48" spans="1:78" ht="15">
      <c r="AK48" s="19">
        <v>18.052</v>
      </c>
      <c r="AL48" s="21">
        <v>591.26</v>
      </c>
      <c r="AM48" s="16"/>
      <c r="AN48" s="16"/>
      <c r="AO48" s="16"/>
      <c r="AQ48" s="19">
        <v>18.052</v>
      </c>
      <c r="AR48" s="21">
        <v>591.26</v>
      </c>
      <c r="AS48" s="16"/>
      <c r="AT48" s="16"/>
      <c r="AU48" s="16"/>
      <c r="AW48" s="19">
        <v>18.052</v>
      </c>
      <c r="AX48" s="21">
        <v>591.26</v>
      </c>
      <c r="AY48" s="16"/>
      <c r="AZ48" s="16"/>
      <c r="BA48" s="16"/>
      <c r="BI48" s="19">
        <v>14.22</v>
      </c>
      <c r="BJ48" s="21">
        <v>582.48</v>
      </c>
      <c r="BK48" s="16"/>
      <c r="BL48" s="16"/>
      <c r="BM48" s="16"/>
    </row>
    <row r="49" spans="37:65" ht="15">
      <c r="AK49" s="19">
        <v>19.097999999999999</v>
      </c>
      <c r="AL49" s="21">
        <v>594.67999999999995</v>
      </c>
      <c r="AM49" s="16"/>
      <c r="AN49" s="16"/>
      <c r="AO49" s="16"/>
      <c r="AQ49" s="19">
        <v>19.097999999999999</v>
      </c>
      <c r="AR49" s="21">
        <v>594.67999999999995</v>
      </c>
      <c r="AS49" s="16"/>
      <c r="AT49" s="16"/>
      <c r="AU49" s="16"/>
      <c r="AW49" s="19">
        <v>19.097999999999999</v>
      </c>
      <c r="AX49" s="21">
        <v>594.67999999999995</v>
      </c>
      <c r="AY49" s="16"/>
      <c r="AZ49" s="16"/>
      <c r="BA49" s="16"/>
      <c r="BI49" s="19">
        <v>15.164999999999999</v>
      </c>
      <c r="BJ49" s="21">
        <v>584.6</v>
      </c>
      <c r="BK49" s="16"/>
      <c r="BL49" s="16"/>
      <c r="BM49" s="16"/>
    </row>
    <row r="50" spans="37:65" ht="15">
      <c r="AK50" s="19">
        <v>20.088000000000001</v>
      </c>
      <c r="AL50" s="21">
        <v>605.02</v>
      </c>
      <c r="AM50" s="16"/>
      <c r="AN50" s="16"/>
      <c r="AO50" s="16"/>
      <c r="AQ50" s="19">
        <v>20.088000000000001</v>
      </c>
      <c r="AR50" s="21">
        <v>605.02</v>
      </c>
      <c r="AS50" s="16"/>
      <c r="AT50" s="16"/>
      <c r="AU50" s="16"/>
      <c r="AW50" s="19">
        <v>20.088000000000001</v>
      </c>
      <c r="AX50" s="21">
        <v>605.02</v>
      </c>
      <c r="AY50" s="16"/>
      <c r="AZ50" s="16"/>
      <c r="BA50" s="16"/>
      <c r="BI50" s="19">
        <v>16.12</v>
      </c>
      <c r="BJ50" s="21">
        <v>593.52</v>
      </c>
      <c r="BK50" s="16"/>
      <c r="BL50" s="16"/>
      <c r="BM50" s="16"/>
    </row>
    <row r="51" spans="37:65" ht="15">
      <c r="AK51" s="19">
        <v>0.59</v>
      </c>
      <c r="AL51" s="21">
        <v>322.363</v>
      </c>
      <c r="AM51" s="16" t="s">
        <v>18</v>
      </c>
      <c r="AN51" s="16"/>
      <c r="AO51" s="16"/>
      <c r="AQ51" s="19">
        <v>0.59</v>
      </c>
      <c r="AR51" s="21">
        <v>322.363</v>
      </c>
      <c r="AS51" s="16" t="s">
        <v>18</v>
      </c>
      <c r="AT51" s="16"/>
      <c r="AU51" s="16"/>
      <c r="AW51" s="19">
        <v>0.59</v>
      </c>
      <c r="AX51" s="21">
        <v>322.363</v>
      </c>
      <c r="AY51" s="16" t="s">
        <v>18</v>
      </c>
      <c r="AZ51" s="16"/>
      <c r="BA51" s="16"/>
      <c r="BI51" s="19">
        <v>17.047999999999998</v>
      </c>
      <c r="BJ51" s="21">
        <v>605.55999999999995</v>
      </c>
      <c r="BK51" s="16"/>
      <c r="BL51" s="16"/>
      <c r="BM51" s="16"/>
    </row>
    <row r="52" spans="37:65" ht="15">
      <c r="AK52" s="19">
        <v>1.395</v>
      </c>
      <c r="AL52" s="21">
        <v>362.137</v>
      </c>
      <c r="AM52" s="16" t="s">
        <v>232</v>
      </c>
      <c r="AN52" s="16"/>
      <c r="AO52" s="16"/>
      <c r="AQ52" s="19">
        <v>1.395</v>
      </c>
      <c r="AR52" s="21">
        <v>362.137</v>
      </c>
      <c r="AS52" s="16" t="s">
        <v>232</v>
      </c>
      <c r="AT52" s="16"/>
      <c r="AU52" s="16"/>
      <c r="AW52" s="19">
        <v>1.395</v>
      </c>
      <c r="AX52" s="21">
        <v>362.137</v>
      </c>
      <c r="AY52" s="16" t="s">
        <v>232</v>
      </c>
      <c r="AZ52" s="16"/>
      <c r="BA52" s="16"/>
      <c r="BI52" s="19">
        <v>17.983000000000001</v>
      </c>
      <c r="BJ52" s="21">
        <v>594.30999999999995</v>
      </c>
      <c r="BK52" s="16"/>
      <c r="BL52" s="16"/>
      <c r="BM52" s="16"/>
    </row>
    <row r="53" spans="37:65" ht="15">
      <c r="AK53" s="19">
        <v>2.1124999999999998</v>
      </c>
      <c r="AL53" s="21">
        <v>447.35700000000003</v>
      </c>
      <c r="AM53" s="16" t="s">
        <v>233</v>
      </c>
      <c r="AN53" s="16"/>
      <c r="AO53" s="16"/>
      <c r="AQ53" s="19">
        <v>2.1124999999999998</v>
      </c>
      <c r="AR53" s="21">
        <v>447.35700000000003</v>
      </c>
      <c r="AS53" s="16" t="s">
        <v>233</v>
      </c>
      <c r="AT53" s="16"/>
      <c r="AU53" s="16"/>
      <c r="AW53" s="19">
        <v>2.1124999999999998</v>
      </c>
      <c r="AX53" s="21">
        <v>447.35700000000003</v>
      </c>
      <c r="AY53" s="16" t="s">
        <v>233</v>
      </c>
      <c r="AZ53" s="16"/>
      <c r="BA53" s="16"/>
      <c r="BI53" s="19">
        <v>18.95</v>
      </c>
      <c r="BJ53" s="21">
        <v>588.27</v>
      </c>
      <c r="BK53" s="16"/>
      <c r="BL53" s="16"/>
      <c r="BM53" s="16"/>
    </row>
    <row r="54" spans="37:65" ht="15">
      <c r="AK54" s="19">
        <v>2.8725000000000001</v>
      </c>
      <c r="AL54" s="21">
        <v>405.8</v>
      </c>
      <c r="AM54" s="16"/>
      <c r="AN54" s="16"/>
      <c r="AO54" s="16"/>
      <c r="AQ54" s="19">
        <v>2.8725000000000001</v>
      </c>
      <c r="AR54" s="21">
        <v>405.8</v>
      </c>
      <c r="AS54" s="16"/>
      <c r="AT54" s="16"/>
      <c r="AU54" s="16"/>
      <c r="AW54" s="19">
        <v>2.8725000000000001</v>
      </c>
      <c r="AX54" s="21">
        <v>405.8</v>
      </c>
      <c r="AY54" s="16"/>
      <c r="AZ54" s="16"/>
      <c r="BA54" s="16"/>
      <c r="BI54" s="19">
        <v>19.795000000000002</v>
      </c>
      <c r="BJ54" s="21">
        <v>608.84</v>
      </c>
      <c r="BK54" s="16"/>
      <c r="BL54" s="16"/>
      <c r="BM54" s="16"/>
    </row>
    <row r="55" spans="37:65" ht="15">
      <c r="AK55" s="19">
        <v>3.63</v>
      </c>
      <c r="AL55" s="21">
        <v>455.09399999999999</v>
      </c>
      <c r="AM55" s="16"/>
      <c r="AN55" s="16"/>
      <c r="AO55" s="16"/>
      <c r="AQ55" s="19">
        <v>3.63</v>
      </c>
      <c r="AR55" s="21">
        <v>455.09399999999999</v>
      </c>
      <c r="AS55" s="16"/>
      <c r="AT55" s="16"/>
      <c r="AU55" s="16"/>
      <c r="AW55" s="19">
        <v>3.63</v>
      </c>
      <c r="AX55" s="21">
        <v>455.09399999999999</v>
      </c>
      <c r="AY55" s="16"/>
      <c r="AZ55" s="16"/>
      <c r="BA55" s="16"/>
      <c r="BI55" s="19">
        <v>20.645</v>
      </c>
      <c r="BJ55" s="21">
        <v>603.77</v>
      </c>
      <c r="BK55" s="16"/>
      <c r="BL55" s="16"/>
      <c r="BM55" s="16"/>
    </row>
    <row r="56" spans="37:65" ht="15">
      <c r="AK56" s="19">
        <v>4.8475000000000001</v>
      </c>
      <c r="AL56" s="21">
        <v>477.85500000000002</v>
      </c>
      <c r="AM56" s="16"/>
      <c r="AN56" s="16"/>
      <c r="AO56" s="16"/>
      <c r="AQ56" s="19">
        <v>4.8475000000000001</v>
      </c>
      <c r="AR56" s="21">
        <v>477.85500000000002</v>
      </c>
      <c r="AS56" s="16"/>
      <c r="AT56" s="16"/>
      <c r="AU56" s="16"/>
      <c r="AW56" s="19">
        <v>4.8475000000000001</v>
      </c>
      <c r="AX56" s="21">
        <v>477.85500000000002</v>
      </c>
      <c r="AY56" s="16"/>
      <c r="AZ56" s="16"/>
      <c r="BA56" s="16"/>
      <c r="BI56" s="19">
        <v>21.547999999999998</v>
      </c>
      <c r="BJ56" s="21">
        <v>615.85</v>
      </c>
      <c r="BK56" s="16"/>
      <c r="BL56" s="16"/>
      <c r="BM56" s="16"/>
    </row>
    <row r="57" spans="37:65" ht="15">
      <c r="AK57" s="19">
        <v>5.7450000000000001</v>
      </c>
      <c r="AL57" s="21">
        <v>493.38099999999997</v>
      </c>
      <c r="AM57" s="16"/>
      <c r="AN57" s="16"/>
      <c r="AO57" s="16"/>
      <c r="AQ57" s="19">
        <v>5.7450000000000001</v>
      </c>
      <c r="AR57" s="21">
        <v>493.38099999999997</v>
      </c>
      <c r="AS57" s="16"/>
      <c r="AT57" s="16"/>
      <c r="AU57" s="16"/>
      <c r="AW57" s="19">
        <v>5.7450000000000001</v>
      </c>
      <c r="AX57" s="21">
        <v>493.38099999999997</v>
      </c>
      <c r="AY57" s="16"/>
      <c r="AZ57" s="16"/>
      <c r="BA57" s="16"/>
      <c r="BI57" s="19">
        <v>22.413</v>
      </c>
      <c r="BJ57" s="21">
        <v>621.24</v>
      </c>
      <c r="BK57" s="16"/>
      <c r="BL57" s="16"/>
      <c r="BM57" s="16"/>
    </row>
    <row r="58" spans="37:65" ht="15">
      <c r="AK58" s="19">
        <v>6.5975000000000001</v>
      </c>
      <c r="AL58" s="21">
        <v>489.52699999999999</v>
      </c>
      <c r="AM58" s="16"/>
      <c r="AN58" s="16"/>
      <c r="AO58" s="16"/>
      <c r="AQ58" s="19">
        <v>6.5975000000000001</v>
      </c>
      <c r="AR58" s="21">
        <v>489.52699999999999</v>
      </c>
      <c r="AS58" s="16"/>
      <c r="AT58" s="16"/>
      <c r="AU58" s="16"/>
      <c r="AW58" s="19">
        <v>6.5975000000000001</v>
      </c>
      <c r="AX58" s="21">
        <v>489.52699999999999</v>
      </c>
      <c r="AY58" s="16"/>
      <c r="AZ58" s="16"/>
      <c r="BA58" s="16"/>
      <c r="BI58" s="19">
        <v>23.318000000000001</v>
      </c>
      <c r="BJ58" s="21">
        <v>618.44000000000005</v>
      </c>
      <c r="BK58" s="16"/>
      <c r="BL58" s="16"/>
      <c r="BM58" s="16"/>
    </row>
    <row r="59" spans="37:65" ht="15">
      <c r="AK59" s="19">
        <v>7.6375000000000002</v>
      </c>
      <c r="AL59" s="21">
        <v>508.31599999999997</v>
      </c>
      <c r="AM59" s="16"/>
      <c r="AN59" s="16"/>
      <c r="AO59" s="16"/>
      <c r="AQ59" s="19">
        <v>7.6375000000000002</v>
      </c>
      <c r="AR59" s="21">
        <v>508.31599999999997</v>
      </c>
      <c r="AS59" s="16"/>
      <c r="AT59" s="16"/>
      <c r="AU59" s="16"/>
      <c r="AW59" s="19">
        <v>7.6375000000000002</v>
      </c>
      <c r="AX59" s="21">
        <v>508.31599999999997</v>
      </c>
      <c r="AY59" s="16"/>
      <c r="AZ59" s="16"/>
      <c r="BA59" s="16"/>
      <c r="BI59" s="19">
        <v>24.15</v>
      </c>
      <c r="BJ59" s="21">
        <v>624.48</v>
      </c>
      <c r="BK59" s="16"/>
      <c r="BL59" s="16"/>
      <c r="BM59" s="16"/>
    </row>
    <row r="60" spans="37:65" ht="15">
      <c r="AK60" s="19">
        <v>8.6225000000000005</v>
      </c>
      <c r="AL60" s="21">
        <v>507.50099999999998</v>
      </c>
      <c r="AM60" s="16"/>
      <c r="AN60" s="16"/>
      <c r="AO60" s="16"/>
      <c r="AQ60" s="19">
        <v>8.6225000000000005</v>
      </c>
      <c r="AR60" s="21">
        <v>507.50099999999998</v>
      </c>
      <c r="AS60" s="16"/>
      <c r="AT60" s="16"/>
      <c r="AU60" s="16"/>
      <c r="AW60" s="19">
        <v>8.6225000000000005</v>
      </c>
      <c r="AX60" s="21">
        <v>507.50099999999998</v>
      </c>
      <c r="AY60" s="16"/>
      <c r="AZ60" s="16"/>
      <c r="BA60" s="16"/>
      <c r="BI60" s="19">
        <v>0.495</v>
      </c>
      <c r="BJ60" s="21">
        <v>359.34800000000001</v>
      </c>
      <c r="BK60" s="16" t="s">
        <v>18</v>
      </c>
      <c r="BL60" s="16"/>
      <c r="BM60" s="16"/>
    </row>
    <row r="61" spans="37:65" ht="15">
      <c r="AK61" s="19">
        <v>9.66</v>
      </c>
      <c r="AL61" s="21">
        <v>528.64800000000002</v>
      </c>
      <c r="AM61" s="16"/>
      <c r="AN61" s="16"/>
      <c r="AO61" s="16"/>
      <c r="AQ61" s="19">
        <v>9.66</v>
      </c>
      <c r="AR61" s="21">
        <v>528.64800000000002</v>
      </c>
      <c r="AS61" s="16"/>
      <c r="AT61" s="16"/>
      <c r="AU61" s="16"/>
      <c r="AW61" s="19">
        <v>9.66</v>
      </c>
      <c r="AX61" s="21">
        <v>528.64800000000002</v>
      </c>
      <c r="AY61" s="16"/>
      <c r="AZ61" s="16"/>
      <c r="BA61" s="16"/>
      <c r="BI61" s="19">
        <v>1.385</v>
      </c>
      <c r="BJ61" s="21">
        <v>370.92700000000002</v>
      </c>
      <c r="BK61" s="16" t="s">
        <v>220</v>
      </c>
      <c r="BL61" s="16"/>
      <c r="BM61" s="16"/>
    </row>
    <row r="62" spans="37:65" ht="15">
      <c r="AK62" s="19">
        <v>0.48</v>
      </c>
      <c r="AL62" s="21">
        <v>328.57</v>
      </c>
      <c r="AM62" s="16" t="s">
        <v>18</v>
      </c>
      <c r="AN62" s="16"/>
      <c r="AO62" s="16"/>
      <c r="AQ62" s="19">
        <v>0.48</v>
      </c>
      <c r="AR62" s="21">
        <v>328.57</v>
      </c>
      <c r="AS62" s="16" t="s">
        <v>18</v>
      </c>
      <c r="AT62" s="16"/>
      <c r="AU62" s="16"/>
      <c r="AW62" s="19">
        <v>0.48</v>
      </c>
      <c r="AX62" s="21">
        <v>328.57</v>
      </c>
      <c r="AY62" s="16" t="s">
        <v>18</v>
      </c>
      <c r="AZ62" s="16"/>
      <c r="BA62" s="16"/>
      <c r="BI62" s="19">
        <v>2.3849999999999998</v>
      </c>
      <c r="BJ62" s="21">
        <v>437.40899999999999</v>
      </c>
      <c r="BK62" s="16" t="s">
        <v>232</v>
      </c>
      <c r="BL62" s="16"/>
      <c r="BM62" s="16"/>
    </row>
    <row r="63" spans="37:65" ht="15">
      <c r="AK63" s="19">
        <v>1.2928999999999999</v>
      </c>
      <c r="AL63" s="21">
        <v>350.14400000000001</v>
      </c>
      <c r="AM63" s="16" t="s">
        <v>232</v>
      </c>
      <c r="AN63" s="16"/>
      <c r="AO63" s="16"/>
      <c r="AQ63" s="19">
        <v>1.2928999999999999</v>
      </c>
      <c r="AR63" s="21">
        <v>350.14400000000001</v>
      </c>
      <c r="AS63" s="16" t="s">
        <v>232</v>
      </c>
      <c r="AT63" s="16"/>
      <c r="AU63" s="16"/>
      <c r="AW63" s="19">
        <v>1.2928999999999999</v>
      </c>
      <c r="AX63" s="21">
        <v>350.14400000000001</v>
      </c>
      <c r="AY63" s="16" t="s">
        <v>232</v>
      </c>
      <c r="AZ63" s="16"/>
      <c r="BA63" s="16"/>
      <c r="BI63" s="19">
        <v>3.38</v>
      </c>
      <c r="BJ63" s="21">
        <v>462.214</v>
      </c>
      <c r="BK63" s="16" t="s">
        <v>233</v>
      </c>
      <c r="BL63" s="16"/>
      <c r="BM63" s="16"/>
    </row>
    <row r="64" spans="37:65" ht="15">
      <c r="AK64" s="19">
        <v>2.0699999999999998</v>
      </c>
      <c r="AL64" s="21">
        <v>442.15</v>
      </c>
      <c r="AM64" s="16" t="s">
        <v>234</v>
      </c>
      <c r="AN64" s="16"/>
      <c r="AO64" s="16"/>
      <c r="AQ64" s="19">
        <v>2.0699999999999998</v>
      </c>
      <c r="AR64" s="21">
        <v>442.15</v>
      </c>
      <c r="AS64" s="16" t="s">
        <v>234</v>
      </c>
      <c r="AT64" s="16"/>
      <c r="AU64" s="16"/>
      <c r="AW64" s="19">
        <v>2.0699999999999998</v>
      </c>
      <c r="AX64" s="21">
        <v>442.15</v>
      </c>
      <c r="AY64" s="16" t="s">
        <v>234</v>
      </c>
      <c r="AZ64" s="16"/>
      <c r="BA64" s="16"/>
      <c r="BI64" s="19">
        <v>4.2050000000000001</v>
      </c>
      <c r="BJ64" s="21">
        <v>452.13799999999998</v>
      </c>
      <c r="BK64" s="16"/>
      <c r="BL64" s="16"/>
      <c r="BM64" s="16"/>
    </row>
    <row r="65" spans="37:65" ht="15">
      <c r="AK65" s="19">
        <v>2.915</v>
      </c>
      <c r="AL65" s="21">
        <v>406.06700000000001</v>
      </c>
      <c r="AM65" s="16"/>
      <c r="AN65" s="16"/>
      <c r="AO65" s="16"/>
      <c r="AQ65" s="19">
        <v>2.915</v>
      </c>
      <c r="AR65" s="21">
        <v>406.06700000000001</v>
      </c>
      <c r="AS65" s="16"/>
      <c r="AT65" s="16"/>
      <c r="AU65" s="16"/>
      <c r="AW65" s="19">
        <v>2.915</v>
      </c>
      <c r="AX65" s="21">
        <v>406.06700000000001</v>
      </c>
      <c r="AY65" s="16"/>
      <c r="AZ65" s="16"/>
      <c r="BA65" s="16"/>
      <c r="BI65" s="19">
        <v>5.27</v>
      </c>
      <c r="BJ65" s="21">
        <v>504.81900000000002</v>
      </c>
      <c r="BK65" s="16"/>
      <c r="BL65" s="16"/>
      <c r="BM65" s="16"/>
    </row>
    <row r="66" spans="37:65" ht="15">
      <c r="AK66" s="19">
        <v>3.98</v>
      </c>
      <c r="AL66" s="21">
        <v>455.709</v>
      </c>
      <c r="AM66" s="16"/>
      <c r="AN66" s="16"/>
      <c r="AO66" s="16"/>
      <c r="AQ66" s="19">
        <v>3.98</v>
      </c>
      <c r="AR66" s="21">
        <v>455.709</v>
      </c>
      <c r="AS66" s="16"/>
      <c r="AT66" s="16"/>
      <c r="AU66" s="16"/>
      <c r="AW66" s="19">
        <v>3.98</v>
      </c>
      <c r="AX66" s="21">
        <v>455.709</v>
      </c>
      <c r="AY66" s="16"/>
      <c r="AZ66" s="16"/>
      <c r="BA66" s="16"/>
      <c r="BI66" s="19">
        <v>6.37</v>
      </c>
      <c r="BJ66" s="21">
        <v>508.18900000000002</v>
      </c>
      <c r="BK66" s="16"/>
      <c r="BL66" s="16"/>
      <c r="BM66" s="16"/>
    </row>
    <row r="67" spans="37:65" ht="15">
      <c r="AK67" s="19">
        <v>5.1025</v>
      </c>
      <c r="AL67" s="21">
        <v>484.96899999999999</v>
      </c>
      <c r="AM67" s="16"/>
      <c r="AN67" s="16"/>
      <c r="AO67" s="16"/>
      <c r="AQ67" s="19">
        <v>5.1025</v>
      </c>
      <c r="AR67" s="21">
        <v>484.96899999999999</v>
      </c>
      <c r="AS67" s="16"/>
      <c r="AT67" s="16"/>
      <c r="AU67" s="16"/>
      <c r="AW67" s="19">
        <v>5.1025</v>
      </c>
      <c r="AX67" s="21">
        <v>484.96899999999999</v>
      </c>
      <c r="AY67" s="16"/>
      <c r="AZ67" s="16"/>
      <c r="BA67" s="16"/>
      <c r="BI67" s="19">
        <v>7.3334999999999999</v>
      </c>
      <c r="BJ67" s="21">
        <v>529.71600000000001</v>
      </c>
      <c r="BK67" s="16"/>
      <c r="BL67" s="16"/>
      <c r="BM67" s="16"/>
    </row>
    <row r="68" spans="37:65" ht="15">
      <c r="AK68" s="19">
        <v>6.0175000000000001</v>
      </c>
      <c r="AL68" s="21">
        <v>510</v>
      </c>
      <c r="AM68" s="16"/>
      <c r="AN68" s="16"/>
      <c r="AO68" s="16"/>
      <c r="AQ68" s="19">
        <v>6.0175000000000001</v>
      </c>
      <c r="AR68" s="21">
        <v>510</v>
      </c>
      <c r="AS68" s="16"/>
      <c r="AT68" s="16"/>
      <c r="AU68" s="16"/>
      <c r="AW68" s="19">
        <v>6.0175000000000001</v>
      </c>
      <c r="AX68" s="21">
        <v>510</v>
      </c>
      <c r="AY68" s="16"/>
      <c r="AZ68" s="16"/>
      <c r="BA68" s="16"/>
      <c r="BI68" s="19">
        <v>8.2774999999999999</v>
      </c>
      <c r="BJ68" s="21">
        <v>532.75099999999998</v>
      </c>
      <c r="BK68" s="16"/>
      <c r="BL68" s="16"/>
      <c r="BM68" s="16"/>
    </row>
    <row r="69" spans="37:65" ht="15">
      <c r="AK69" s="19">
        <v>6.9249999999999998</v>
      </c>
      <c r="AL69" s="21">
        <v>502.56</v>
      </c>
      <c r="AM69" s="16"/>
      <c r="AN69" s="16"/>
      <c r="AO69" s="16"/>
      <c r="AQ69" s="19">
        <v>6.9249999999999998</v>
      </c>
      <c r="AR69" s="21">
        <v>502.56</v>
      </c>
      <c r="AS69" s="16"/>
      <c r="AT69" s="16"/>
      <c r="AU69" s="16"/>
      <c r="AW69" s="19">
        <v>6.9249999999999998</v>
      </c>
      <c r="AX69" s="21">
        <v>502.56</v>
      </c>
      <c r="AY69" s="16"/>
      <c r="AZ69" s="16"/>
      <c r="BA69" s="16"/>
      <c r="BI69" s="19">
        <v>9.1999999999999993</v>
      </c>
      <c r="BJ69" s="21">
        <v>550.80499999999995</v>
      </c>
      <c r="BK69" s="16"/>
      <c r="BL69" s="16"/>
      <c r="BM69" s="16"/>
    </row>
    <row r="70" spans="37:65" ht="15">
      <c r="AK70" s="19">
        <v>7.9349999999999996</v>
      </c>
      <c r="AL70" s="21">
        <v>506.42</v>
      </c>
      <c r="AM70" s="16"/>
      <c r="AN70" s="16"/>
      <c r="AO70" s="16"/>
      <c r="AQ70" s="19">
        <v>7.9349999999999996</v>
      </c>
      <c r="AR70" s="21">
        <v>506.42</v>
      </c>
      <c r="AS70" s="16"/>
      <c r="AT70" s="16"/>
      <c r="AU70" s="16"/>
      <c r="AW70" s="19">
        <v>7.9349999999999996</v>
      </c>
      <c r="AX70" s="21">
        <v>506.42</v>
      </c>
      <c r="AY70" s="16"/>
      <c r="AZ70" s="16"/>
      <c r="BA70" s="16"/>
      <c r="BI70" s="19">
        <v>11.244999999999999</v>
      </c>
      <c r="BJ70" s="21">
        <v>554.65700000000004</v>
      </c>
      <c r="BK70" s="16"/>
      <c r="BL70" s="16"/>
      <c r="BM70" s="16"/>
    </row>
    <row r="71" spans="37:65" ht="15">
      <c r="AK71" s="19">
        <v>8.9175000000000004</v>
      </c>
      <c r="AL71" s="21">
        <v>513.04499999999996</v>
      </c>
      <c r="AM71" s="16"/>
      <c r="AN71" s="16"/>
      <c r="AO71" s="16"/>
      <c r="AQ71" s="19">
        <v>8.9175000000000004</v>
      </c>
      <c r="AR71" s="21">
        <v>513.04499999999996</v>
      </c>
      <c r="AS71" s="16"/>
      <c r="AT71" s="16"/>
      <c r="AU71" s="16"/>
      <c r="AW71" s="19">
        <v>8.9175000000000004</v>
      </c>
      <c r="AX71" s="21">
        <v>513.04499999999996</v>
      </c>
      <c r="AY71" s="16"/>
      <c r="AZ71" s="16"/>
      <c r="BA71" s="16"/>
      <c r="BI71" s="19">
        <v>12.1975</v>
      </c>
      <c r="BJ71" s="21">
        <v>574.56500000000005</v>
      </c>
      <c r="BK71" s="16"/>
      <c r="BL71" s="16"/>
      <c r="BM71" s="16"/>
    </row>
    <row r="72" spans="37:65" ht="15">
      <c r="AK72" s="19">
        <v>9.8699999999999992</v>
      </c>
      <c r="AL72" s="21">
        <v>520.21900000000005</v>
      </c>
      <c r="AM72" s="16"/>
      <c r="AN72" s="16"/>
      <c r="AO72" s="16"/>
      <c r="AQ72" s="19">
        <v>9.8699999999999992</v>
      </c>
      <c r="AR72" s="21">
        <v>520.21900000000005</v>
      </c>
      <c r="AS72" s="16"/>
      <c r="AT72" s="16"/>
      <c r="AU72" s="16"/>
      <c r="AW72" s="19">
        <v>9.8699999999999992</v>
      </c>
      <c r="AX72" s="21">
        <v>520.21900000000005</v>
      </c>
      <c r="AY72" s="16"/>
      <c r="AZ72" s="16"/>
      <c r="BA72" s="16"/>
      <c r="BI72" s="19">
        <v>13.12</v>
      </c>
      <c r="BJ72" s="21">
        <v>576.23699999999997</v>
      </c>
      <c r="BK72" s="16"/>
      <c r="BL72" s="16"/>
      <c r="BM72" s="16"/>
    </row>
    <row r="73" spans="37:65" ht="15">
      <c r="AK73" s="16"/>
      <c r="AL73" s="16"/>
      <c r="AM73" s="16"/>
      <c r="AN73" s="16"/>
      <c r="AO73" s="16"/>
      <c r="AQ73" s="16"/>
      <c r="AR73" s="16"/>
      <c r="AS73" s="16"/>
      <c r="AT73" s="16"/>
      <c r="AU73" s="16"/>
      <c r="AW73" s="16"/>
      <c r="AX73" s="16"/>
      <c r="AY73" s="16"/>
      <c r="AZ73" s="16"/>
      <c r="BA73" s="16"/>
      <c r="BI73" s="19">
        <v>13.945</v>
      </c>
      <c r="BJ73" s="21">
        <v>592.29399999999998</v>
      </c>
      <c r="BK73" s="16"/>
      <c r="BL73" s="16"/>
      <c r="BM73" s="16"/>
    </row>
    <row r="74" spans="37:65" ht="15">
      <c r="AK74" s="16" t="s">
        <v>26</v>
      </c>
      <c r="AL74" s="16"/>
      <c r="AM74" s="16"/>
      <c r="AN74" s="16"/>
      <c r="AO74" s="16"/>
      <c r="AQ74" s="16" t="s">
        <v>26</v>
      </c>
      <c r="AR74" s="16"/>
      <c r="AS74" s="16"/>
      <c r="AT74" s="16"/>
      <c r="AU74" s="16"/>
      <c r="AW74" s="16" t="s">
        <v>26</v>
      </c>
      <c r="AX74" s="16"/>
      <c r="AY74" s="16"/>
      <c r="AZ74" s="16"/>
      <c r="BA74" s="16"/>
      <c r="BI74" s="19">
        <v>14.82</v>
      </c>
      <c r="BJ74" s="21">
        <v>592.39400000000001</v>
      </c>
      <c r="BK74" s="16"/>
      <c r="BL74" s="16"/>
      <c r="BM74" s="16"/>
    </row>
    <row r="75" spans="37:65" ht="15">
      <c r="AK75" s="16" t="s">
        <v>27</v>
      </c>
      <c r="AL75" s="16"/>
      <c r="AM75" s="16"/>
      <c r="AN75" s="16"/>
      <c r="AO75" s="16"/>
      <c r="AQ75" s="16" t="s">
        <v>27</v>
      </c>
      <c r="AR75" s="16"/>
      <c r="AS75" s="16"/>
      <c r="AT75" s="16"/>
      <c r="AU75" s="16"/>
      <c r="AW75" s="16" t="s">
        <v>27</v>
      </c>
      <c r="AX75" s="16"/>
      <c r="AY75" s="16"/>
      <c r="AZ75" s="16"/>
      <c r="BA75" s="16"/>
      <c r="BI75" s="16"/>
      <c r="BJ75" s="16"/>
      <c r="BK75" s="16"/>
      <c r="BL75" s="16"/>
      <c r="BM75" s="16"/>
    </row>
    <row r="76" spans="37:65" ht="15">
      <c r="AK76" s="16" t="s">
        <v>28</v>
      </c>
      <c r="AL76" s="16"/>
      <c r="AM76" s="16"/>
      <c r="AN76" s="16"/>
      <c r="AO76" s="16"/>
      <c r="AQ76" s="16" t="s">
        <v>28</v>
      </c>
      <c r="AR76" s="16"/>
      <c r="AS76" s="16"/>
      <c r="AT76" s="16"/>
      <c r="AU76" s="16"/>
      <c r="AW76" s="16" t="s">
        <v>28</v>
      </c>
      <c r="AX76" s="16"/>
      <c r="AY76" s="16"/>
      <c r="AZ76" s="16"/>
      <c r="BA76" s="16"/>
      <c r="BI76" s="16" t="s">
        <v>26</v>
      </c>
      <c r="BJ76" s="16"/>
      <c r="BK76" s="16"/>
      <c r="BL76" s="16"/>
      <c r="BM76" s="16"/>
    </row>
    <row r="77" spans="37:65" ht="15">
      <c r="AK77" s="16"/>
      <c r="AL77" s="16"/>
      <c r="AM77" s="16"/>
      <c r="AN77" s="16"/>
      <c r="AO77" s="16"/>
      <c r="AQ77" s="16"/>
      <c r="AR77" s="16"/>
      <c r="AS77" s="16"/>
      <c r="AT77" s="16"/>
      <c r="AU77" s="16"/>
      <c r="AW77" s="16"/>
      <c r="AX77" s="16"/>
      <c r="AY77" s="16"/>
      <c r="AZ77" s="16"/>
      <c r="BA77" s="16"/>
      <c r="BI77" s="16" t="s">
        <v>27</v>
      </c>
      <c r="BJ77" s="16"/>
      <c r="BK77" s="16"/>
      <c r="BL77" s="16"/>
      <c r="BM77" s="16"/>
    </row>
    <row r="78" spans="37:65" ht="15">
      <c r="AK78" s="16"/>
      <c r="AL78" s="16"/>
      <c r="AM78" s="16"/>
      <c r="AN78" s="16"/>
      <c r="AO78" s="16"/>
      <c r="BI78" s="16" t="s">
        <v>28</v>
      </c>
      <c r="BJ78" s="16"/>
      <c r="BK78" s="16"/>
      <c r="BL78" s="16"/>
      <c r="BM78" s="16"/>
    </row>
    <row r="79" spans="37:65" ht="15">
      <c r="AK79" s="16"/>
      <c r="AL79" s="16"/>
      <c r="AM79" s="16"/>
      <c r="AN79" s="16"/>
      <c r="AO79" s="16"/>
      <c r="BI79" s="16"/>
      <c r="BJ79" s="16"/>
      <c r="BK79" s="16"/>
      <c r="BL79" s="16"/>
      <c r="BM79" s="16"/>
    </row>
    <row r="80" spans="37:65" ht="15">
      <c r="AK80" s="16"/>
      <c r="AL80" s="16"/>
      <c r="AM80" s="16"/>
      <c r="AN80" s="16"/>
      <c r="AO80" s="16"/>
      <c r="BI80" s="16"/>
      <c r="BJ80" s="16"/>
      <c r="BK80" s="16"/>
      <c r="BL80" s="16"/>
      <c r="BM80" s="1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5"/>
  <sheetViews>
    <sheetView tabSelected="1" topLeftCell="AU1" workbookViewId="0">
      <selection activeCell="BC9" sqref="BC9:BD29"/>
    </sheetView>
  </sheetViews>
  <sheetFormatPr baseColWidth="10" defaultColWidth="8.83203125" defaultRowHeight="14" x14ac:dyDescent="0"/>
  <cols>
    <col min="2" max="2" width="15.6640625" customWidth="1"/>
    <col min="8" max="8" width="12.83203125" customWidth="1"/>
    <col min="14" max="14" width="13.33203125" customWidth="1"/>
    <col min="21" max="21" width="11.5" customWidth="1"/>
    <col min="26" max="26" width="11" customWidth="1"/>
    <col min="27" max="27" width="11.6640625" customWidth="1"/>
    <col min="41" max="41" width="11.5" customWidth="1"/>
    <col min="44" max="44" width="13" customWidth="1"/>
    <col min="47" max="47" width="10.5" customWidth="1"/>
    <col min="53" max="53" width="12.6640625" customWidth="1"/>
    <col min="59" max="59" width="11.83203125" customWidth="1"/>
    <col min="63" max="63" width="12.5" customWidth="1"/>
    <col min="68" max="68" width="12.1640625" customWidth="1"/>
    <col min="74" max="74" width="12.33203125" customWidth="1"/>
    <col min="80" max="80" width="11.5" customWidth="1"/>
    <col min="83" max="83" width="11.6640625" customWidth="1"/>
    <col min="86" max="86" width="12.1640625" customWidth="1"/>
    <col min="89" max="89" width="11.33203125" customWidth="1"/>
    <col min="92" max="92" width="13.83203125" customWidth="1"/>
    <col min="95" max="95" width="11.5" customWidth="1"/>
  </cols>
  <sheetData>
    <row r="1" spans="1:95" ht="18">
      <c r="A1" s="6" t="s">
        <v>45</v>
      </c>
      <c r="B1" s="6"/>
      <c r="C1" s="6"/>
      <c r="D1" s="6"/>
    </row>
    <row r="2" spans="1:95" ht="15">
      <c r="A2" s="1" t="s">
        <v>0</v>
      </c>
      <c r="B2" s="1"/>
      <c r="C2" s="2" t="s">
        <v>1</v>
      </c>
      <c r="D2" s="2"/>
      <c r="E2" s="2"/>
      <c r="G2" s="1" t="s">
        <v>33</v>
      </c>
      <c r="H2" s="1"/>
      <c r="I2" s="2" t="s">
        <v>1</v>
      </c>
      <c r="J2" s="2"/>
      <c r="K2" s="2"/>
      <c r="M2" s="7" t="s">
        <v>46</v>
      </c>
      <c r="N2" s="7"/>
      <c r="O2" s="8" t="s">
        <v>1</v>
      </c>
      <c r="P2" s="8"/>
      <c r="Q2" s="8"/>
      <c r="S2" s="7" t="s">
        <v>59</v>
      </c>
      <c r="T2" s="7"/>
      <c r="U2" s="8" t="s">
        <v>1</v>
      </c>
      <c r="V2" s="8"/>
      <c r="W2" s="8"/>
      <c r="Y2" s="7" t="s">
        <v>68</v>
      </c>
      <c r="Z2" s="7"/>
      <c r="AA2" s="8" t="s">
        <v>1</v>
      </c>
      <c r="AB2" s="8"/>
      <c r="AC2" s="8"/>
      <c r="AE2" s="7" t="s">
        <v>77</v>
      </c>
      <c r="AF2" s="7"/>
      <c r="AG2" s="8" t="s">
        <v>1</v>
      </c>
      <c r="AH2" s="8"/>
      <c r="AI2" s="8"/>
      <c r="AK2" s="7" t="s">
        <v>88</v>
      </c>
      <c r="AL2" s="7"/>
      <c r="AM2" s="8" t="s">
        <v>1</v>
      </c>
      <c r="AN2" s="8"/>
      <c r="AO2" s="8"/>
      <c r="AQ2" s="7" t="s">
        <v>98</v>
      </c>
      <c r="AR2" s="7"/>
      <c r="AS2" s="8" t="s">
        <v>1</v>
      </c>
      <c r="AT2" s="8"/>
      <c r="AU2" s="8"/>
      <c r="AW2" s="7" t="s">
        <v>104</v>
      </c>
      <c r="AX2" s="7"/>
      <c r="AY2" s="8" t="s">
        <v>1</v>
      </c>
      <c r="AZ2" s="8"/>
      <c r="BA2" s="8"/>
      <c r="BC2" s="7" t="s">
        <v>109</v>
      </c>
      <c r="BD2" s="7"/>
      <c r="BE2" s="8" t="s">
        <v>1</v>
      </c>
      <c r="BF2" s="8"/>
      <c r="BG2" s="8"/>
      <c r="BI2" s="7" t="s">
        <v>114</v>
      </c>
      <c r="BJ2" s="7"/>
      <c r="BK2" s="8" t="s">
        <v>1</v>
      </c>
      <c r="BL2" s="8"/>
      <c r="BM2" s="8"/>
      <c r="BO2" s="7" t="s">
        <v>124</v>
      </c>
      <c r="BP2" s="7"/>
      <c r="BQ2" s="8" t="s">
        <v>1</v>
      </c>
      <c r="BR2" s="8"/>
      <c r="BS2" s="8"/>
      <c r="BU2" s="7" t="s">
        <v>130</v>
      </c>
      <c r="BV2" s="7"/>
      <c r="BW2" s="8" t="s">
        <v>1</v>
      </c>
      <c r="BX2" s="8"/>
      <c r="BY2" s="8"/>
      <c r="CA2" s="7" t="s">
        <v>134</v>
      </c>
      <c r="CB2" s="7"/>
      <c r="CC2" s="8" t="s">
        <v>1</v>
      </c>
      <c r="CD2" s="8"/>
      <c r="CE2" s="8"/>
      <c r="CG2" s="7" t="s">
        <v>139</v>
      </c>
      <c r="CH2" s="7"/>
      <c r="CI2" s="8" t="s">
        <v>1</v>
      </c>
      <c r="CJ2" s="8"/>
      <c r="CK2" s="8"/>
      <c r="CM2" s="7" t="s">
        <v>143</v>
      </c>
      <c r="CN2" s="7"/>
      <c r="CO2" s="8" t="s">
        <v>1</v>
      </c>
      <c r="CP2" s="8"/>
      <c r="CQ2" s="8"/>
    </row>
    <row r="3" spans="1:95" ht="15">
      <c r="A3" s="2" t="s">
        <v>2</v>
      </c>
      <c r="B3" s="2"/>
      <c r="C3" s="2" t="s">
        <v>3</v>
      </c>
      <c r="D3" s="3" t="s">
        <v>4</v>
      </c>
      <c r="E3" s="2"/>
      <c r="G3" s="2" t="s">
        <v>2</v>
      </c>
      <c r="H3" s="2"/>
      <c r="I3" s="2" t="s">
        <v>3</v>
      </c>
      <c r="J3" s="3" t="s">
        <v>34</v>
      </c>
      <c r="K3" s="2"/>
      <c r="M3" s="8" t="s">
        <v>2</v>
      </c>
      <c r="N3" s="8"/>
      <c r="O3" s="8" t="s">
        <v>3</v>
      </c>
      <c r="P3" s="9" t="s">
        <v>47</v>
      </c>
      <c r="Q3" s="8"/>
      <c r="S3" s="8" t="s">
        <v>2</v>
      </c>
      <c r="T3" s="8"/>
      <c r="U3" s="8" t="s">
        <v>3</v>
      </c>
      <c r="V3" s="9" t="s">
        <v>60</v>
      </c>
      <c r="W3" s="8"/>
      <c r="Y3" s="8" t="s">
        <v>2</v>
      </c>
      <c r="Z3" s="8"/>
      <c r="AA3" s="8" t="s">
        <v>3</v>
      </c>
      <c r="AB3" s="9" t="s">
        <v>69</v>
      </c>
      <c r="AC3" s="8"/>
      <c r="AE3" s="8" t="s">
        <v>2</v>
      </c>
      <c r="AF3" s="8"/>
      <c r="AG3" s="8" t="s">
        <v>3</v>
      </c>
      <c r="AH3" s="9" t="s">
        <v>78</v>
      </c>
      <c r="AI3" s="8"/>
      <c r="AK3" s="8" t="s">
        <v>2</v>
      </c>
      <c r="AL3" s="8"/>
      <c r="AM3" s="8" t="s">
        <v>3</v>
      </c>
      <c r="AN3" s="9" t="s">
        <v>89</v>
      </c>
      <c r="AO3" s="8"/>
      <c r="AQ3" s="8" t="s">
        <v>2</v>
      </c>
      <c r="AR3" s="8"/>
      <c r="AS3" s="8" t="s">
        <v>3</v>
      </c>
      <c r="AT3" s="9" t="s">
        <v>99</v>
      </c>
      <c r="AU3" s="8"/>
      <c r="AW3" s="8" t="s">
        <v>2</v>
      </c>
      <c r="AX3" s="8"/>
      <c r="AY3" s="8" t="s">
        <v>3</v>
      </c>
      <c r="AZ3" s="9" t="s">
        <v>105</v>
      </c>
      <c r="BA3" s="8"/>
      <c r="BC3" s="8" t="s">
        <v>2</v>
      </c>
      <c r="BD3" s="8"/>
      <c r="BE3" s="8" t="s">
        <v>3</v>
      </c>
      <c r="BF3" s="9" t="s">
        <v>110</v>
      </c>
      <c r="BG3" s="8"/>
      <c r="BI3" s="8" t="s">
        <v>2</v>
      </c>
      <c r="BJ3" s="8"/>
      <c r="BK3" s="8" t="s">
        <v>3</v>
      </c>
      <c r="BL3" s="9" t="s">
        <v>89</v>
      </c>
      <c r="BM3" s="8"/>
      <c r="BO3" s="8" t="s">
        <v>2</v>
      </c>
      <c r="BP3" s="8"/>
      <c r="BQ3" s="8" t="s">
        <v>3</v>
      </c>
      <c r="BR3" s="9" t="s">
        <v>125</v>
      </c>
      <c r="BS3" s="8"/>
      <c r="BU3" s="8" t="s">
        <v>2</v>
      </c>
      <c r="BV3" s="8"/>
      <c r="BW3" s="8" t="s">
        <v>3</v>
      </c>
      <c r="BX3" s="9" t="s">
        <v>131</v>
      </c>
      <c r="BY3" s="8"/>
      <c r="CA3" s="8" t="s">
        <v>2</v>
      </c>
      <c r="CB3" s="8"/>
      <c r="CC3" s="8" t="s">
        <v>3</v>
      </c>
      <c r="CD3" s="9" t="s">
        <v>135</v>
      </c>
      <c r="CE3" s="8"/>
      <c r="CG3" s="8" t="s">
        <v>2</v>
      </c>
      <c r="CH3" s="8"/>
      <c r="CI3" s="8" t="s">
        <v>3</v>
      </c>
      <c r="CJ3" s="9" t="s">
        <v>140</v>
      </c>
      <c r="CK3" s="8"/>
      <c r="CM3" s="8" t="s">
        <v>2</v>
      </c>
      <c r="CN3" s="8"/>
      <c r="CO3" s="8" t="s">
        <v>3</v>
      </c>
      <c r="CP3" s="9" t="s">
        <v>144</v>
      </c>
      <c r="CQ3" s="8"/>
    </row>
    <row r="4" spans="1:95" ht="15">
      <c r="A4" s="2" t="s">
        <v>5</v>
      </c>
      <c r="B4" s="4"/>
      <c r="C4" s="2" t="s">
        <v>6</v>
      </c>
      <c r="D4" s="3" t="s">
        <v>7</v>
      </c>
      <c r="E4" s="2"/>
      <c r="G4" s="2" t="s">
        <v>5</v>
      </c>
      <c r="H4" s="4"/>
      <c r="I4" s="2" t="s">
        <v>6</v>
      </c>
      <c r="J4" s="3" t="s">
        <v>35</v>
      </c>
      <c r="K4" s="2"/>
      <c r="M4" s="8" t="s">
        <v>5</v>
      </c>
      <c r="N4" s="10"/>
      <c r="O4" s="8" t="s">
        <v>6</v>
      </c>
      <c r="P4" s="9" t="s">
        <v>48</v>
      </c>
      <c r="Q4" s="8"/>
      <c r="S4" s="8" t="s">
        <v>5</v>
      </c>
      <c r="T4" s="10"/>
      <c r="U4" s="8" t="s">
        <v>6</v>
      </c>
      <c r="V4" s="9" t="s">
        <v>61</v>
      </c>
      <c r="W4" s="8"/>
      <c r="Y4" s="8" t="s">
        <v>5</v>
      </c>
      <c r="Z4" s="10"/>
      <c r="AA4" s="8" t="s">
        <v>6</v>
      </c>
      <c r="AB4" s="9" t="s">
        <v>70</v>
      </c>
      <c r="AC4" s="8"/>
      <c r="AE4" s="8" t="s">
        <v>5</v>
      </c>
      <c r="AF4" s="10"/>
      <c r="AG4" s="8" t="s">
        <v>6</v>
      </c>
      <c r="AH4" s="9" t="s">
        <v>79</v>
      </c>
      <c r="AI4" s="8"/>
      <c r="AK4" s="8" t="s">
        <v>5</v>
      </c>
      <c r="AL4" s="10"/>
      <c r="AM4" s="8" t="s">
        <v>6</v>
      </c>
      <c r="AN4" s="9" t="s">
        <v>90</v>
      </c>
      <c r="AO4" s="8"/>
      <c r="AQ4" s="8" t="s">
        <v>5</v>
      </c>
      <c r="AR4" s="10"/>
      <c r="AS4" s="8" t="s">
        <v>6</v>
      </c>
      <c r="AT4" s="9" t="s">
        <v>100</v>
      </c>
      <c r="AU4" s="8"/>
      <c r="AW4" s="8" t="s">
        <v>5</v>
      </c>
      <c r="AX4" s="10"/>
      <c r="AY4" s="8" t="s">
        <v>6</v>
      </c>
      <c r="AZ4" s="9" t="s">
        <v>79</v>
      </c>
      <c r="BA4" s="8"/>
      <c r="BC4" s="8" t="s">
        <v>5</v>
      </c>
      <c r="BD4" s="10"/>
      <c r="BE4" s="8" t="s">
        <v>6</v>
      </c>
      <c r="BF4" s="9" t="s">
        <v>111</v>
      </c>
      <c r="BG4" s="8"/>
      <c r="BI4" s="8" t="s">
        <v>5</v>
      </c>
      <c r="BJ4" s="10"/>
      <c r="BK4" s="8" t="s">
        <v>6</v>
      </c>
      <c r="BL4" s="9" t="s">
        <v>61</v>
      </c>
      <c r="BM4" s="8"/>
      <c r="BO4" s="8" t="s">
        <v>5</v>
      </c>
      <c r="BP4" s="10"/>
      <c r="BQ4" s="8" t="s">
        <v>6</v>
      </c>
      <c r="BR4" s="9" t="s">
        <v>61</v>
      </c>
      <c r="BS4" s="8"/>
      <c r="BU4" s="8" t="s">
        <v>5</v>
      </c>
      <c r="BV4" s="10"/>
      <c r="BW4" s="8" t="s">
        <v>6</v>
      </c>
      <c r="BX4" s="9" t="s">
        <v>61</v>
      </c>
      <c r="BY4" s="8"/>
      <c r="CA4" s="8" t="s">
        <v>5</v>
      </c>
      <c r="CB4" s="10"/>
      <c r="CC4" s="8" t="s">
        <v>6</v>
      </c>
      <c r="CD4" s="9" t="s">
        <v>136</v>
      </c>
      <c r="CE4" s="8"/>
      <c r="CG4" s="8" t="s">
        <v>5</v>
      </c>
      <c r="CH4" s="10"/>
      <c r="CI4" s="8" t="s">
        <v>6</v>
      </c>
      <c r="CJ4" s="9" t="s">
        <v>61</v>
      </c>
      <c r="CK4" s="8"/>
      <c r="CM4" s="8" t="s">
        <v>5</v>
      </c>
      <c r="CN4" s="10"/>
      <c r="CO4" s="8" t="s">
        <v>6</v>
      </c>
      <c r="CP4" s="9" t="s">
        <v>145</v>
      </c>
      <c r="CQ4" s="8"/>
    </row>
    <row r="5" spans="1:95" ht="15">
      <c r="A5" s="2" t="s">
        <v>8</v>
      </c>
      <c r="B5" s="4" t="s">
        <v>9</v>
      </c>
      <c r="C5" s="2" t="s">
        <v>10</v>
      </c>
      <c r="D5" s="3" t="s">
        <v>11</v>
      </c>
      <c r="E5" s="2"/>
      <c r="G5" s="2" t="s">
        <v>8</v>
      </c>
      <c r="H5" s="4" t="s">
        <v>9</v>
      </c>
      <c r="I5" s="2" t="s">
        <v>10</v>
      </c>
      <c r="J5" s="3" t="s">
        <v>36</v>
      </c>
      <c r="K5" s="2"/>
      <c r="M5" s="8" t="s">
        <v>8</v>
      </c>
      <c r="N5" s="10" t="s">
        <v>9</v>
      </c>
      <c r="O5" s="8" t="s">
        <v>10</v>
      </c>
      <c r="P5" s="9" t="s">
        <v>49</v>
      </c>
      <c r="Q5" s="8"/>
      <c r="S5" s="8" t="s">
        <v>8</v>
      </c>
      <c r="T5" s="10" t="s">
        <v>9</v>
      </c>
      <c r="U5" s="8" t="s">
        <v>10</v>
      </c>
      <c r="V5" s="9" t="s">
        <v>62</v>
      </c>
      <c r="W5" s="8"/>
      <c r="Y5" s="8" t="s">
        <v>8</v>
      </c>
      <c r="Z5" s="10" t="s">
        <v>9</v>
      </c>
      <c r="AA5" s="8" t="s">
        <v>10</v>
      </c>
      <c r="AB5" s="9" t="s">
        <v>71</v>
      </c>
      <c r="AC5" s="8"/>
      <c r="AE5" s="8" t="s">
        <v>8</v>
      </c>
      <c r="AF5" s="10" t="s">
        <v>9</v>
      </c>
      <c r="AG5" s="8" t="s">
        <v>10</v>
      </c>
      <c r="AH5" s="9" t="s">
        <v>80</v>
      </c>
      <c r="AI5" s="8"/>
      <c r="AK5" s="8" t="s">
        <v>8</v>
      </c>
      <c r="AL5" s="10" t="s">
        <v>9</v>
      </c>
      <c r="AM5" s="8" t="s">
        <v>10</v>
      </c>
      <c r="AN5" s="9" t="s">
        <v>91</v>
      </c>
      <c r="AO5" s="8"/>
      <c r="AQ5" s="8" t="s">
        <v>8</v>
      </c>
      <c r="AR5" s="10" t="s">
        <v>9</v>
      </c>
      <c r="AS5" s="8" t="s">
        <v>10</v>
      </c>
      <c r="AT5" s="9" t="s">
        <v>101</v>
      </c>
      <c r="AU5" s="8"/>
      <c r="AW5" s="8" t="s">
        <v>8</v>
      </c>
      <c r="AX5" s="10" t="s">
        <v>9</v>
      </c>
      <c r="AY5" s="8" t="s">
        <v>10</v>
      </c>
      <c r="AZ5" s="9" t="s">
        <v>106</v>
      </c>
      <c r="BA5" s="8"/>
      <c r="BC5" s="8" t="s">
        <v>8</v>
      </c>
      <c r="BD5" s="10" t="s">
        <v>9</v>
      </c>
      <c r="BE5" s="8" t="s">
        <v>10</v>
      </c>
      <c r="BF5" s="9" t="s">
        <v>112</v>
      </c>
      <c r="BG5" s="8"/>
      <c r="BI5" s="8" t="s">
        <v>8</v>
      </c>
      <c r="BJ5" s="10" t="s">
        <v>9</v>
      </c>
      <c r="BK5" s="8" t="s">
        <v>10</v>
      </c>
      <c r="BL5" s="9" t="s">
        <v>115</v>
      </c>
      <c r="BM5" s="8"/>
      <c r="BO5" s="8" t="s">
        <v>8</v>
      </c>
      <c r="BP5" s="10" t="s">
        <v>9</v>
      </c>
      <c r="BQ5" s="8" t="s">
        <v>10</v>
      </c>
      <c r="BR5" s="9" t="s">
        <v>126</v>
      </c>
      <c r="BS5" s="8"/>
      <c r="BU5" s="8" t="s">
        <v>8</v>
      </c>
      <c r="BV5" s="10" t="s">
        <v>9</v>
      </c>
      <c r="BW5" s="8" t="s">
        <v>10</v>
      </c>
      <c r="BX5" s="9" t="s">
        <v>132</v>
      </c>
      <c r="BY5" s="8"/>
      <c r="CA5" s="8" t="s">
        <v>8</v>
      </c>
      <c r="CB5" s="10" t="s">
        <v>9</v>
      </c>
      <c r="CC5" s="8" t="s">
        <v>10</v>
      </c>
      <c r="CD5" s="9" t="s">
        <v>137</v>
      </c>
      <c r="CE5" s="8"/>
      <c r="CG5" s="8" t="s">
        <v>8</v>
      </c>
      <c r="CH5" s="10" t="s">
        <v>9</v>
      </c>
      <c r="CI5" s="8" t="s">
        <v>10</v>
      </c>
      <c r="CJ5" s="9" t="s">
        <v>141</v>
      </c>
      <c r="CK5" s="8"/>
      <c r="CM5" s="8" t="s">
        <v>8</v>
      </c>
      <c r="CN5" s="10" t="s">
        <v>9</v>
      </c>
      <c r="CO5" s="8" t="s">
        <v>10</v>
      </c>
      <c r="CP5" s="9" t="s">
        <v>146</v>
      </c>
      <c r="CQ5" s="8"/>
    </row>
    <row r="6" spans="1:95" ht="15">
      <c r="A6" s="2" t="s">
        <v>12</v>
      </c>
      <c r="B6" s="4" t="s">
        <v>13</v>
      </c>
      <c r="C6" s="2" t="s">
        <v>14</v>
      </c>
      <c r="D6" s="3" t="s">
        <v>15</v>
      </c>
      <c r="E6" s="2"/>
      <c r="G6" s="2" t="s">
        <v>12</v>
      </c>
      <c r="H6" s="4" t="s">
        <v>13</v>
      </c>
      <c r="I6" s="2" t="s">
        <v>14</v>
      </c>
      <c r="J6" s="3" t="s">
        <v>37</v>
      </c>
      <c r="K6" s="2"/>
      <c r="M6" s="8" t="s">
        <v>50</v>
      </c>
      <c r="N6" s="10" t="s">
        <v>13</v>
      </c>
      <c r="O6" s="8" t="s">
        <v>14</v>
      </c>
      <c r="P6" s="9" t="s">
        <v>51</v>
      </c>
      <c r="Q6" s="8"/>
      <c r="S6" s="8" t="s">
        <v>50</v>
      </c>
      <c r="T6" s="10" t="s">
        <v>13</v>
      </c>
      <c r="U6" s="8" t="s">
        <v>14</v>
      </c>
      <c r="V6" s="9" t="s">
        <v>63</v>
      </c>
      <c r="W6" s="8"/>
      <c r="Y6" s="8" t="s">
        <v>50</v>
      </c>
      <c r="Z6" s="10" t="s">
        <v>13</v>
      </c>
      <c r="AA6" s="8" t="s">
        <v>14</v>
      </c>
      <c r="AB6" s="9" t="s">
        <v>72</v>
      </c>
      <c r="AC6" s="8"/>
      <c r="AE6" s="8" t="s">
        <v>50</v>
      </c>
      <c r="AF6" s="10" t="s">
        <v>13</v>
      </c>
      <c r="AG6" s="8" t="s">
        <v>14</v>
      </c>
      <c r="AH6" s="9" t="s">
        <v>81</v>
      </c>
      <c r="AI6" s="8"/>
      <c r="AK6" s="8" t="s">
        <v>50</v>
      </c>
      <c r="AL6" s="10" t="s">
        <v>13</v>
      </c>
      <c r="AM6" s="8" t="s">
        <v>14</v>
      </c>
      <c r="AN6" s="9" t="s">
        <v>92</v>
      </c>
      <c r="AO6" s="8"/>
      <c r="AQ6" s="8" t="s">
        <v>50</v>
      </c>
      <c r="AR6" s="10" t="s">
        <v>13</v>
      </c>
      <c r="AS6" s="8" t="s">
        <v>14</v>
      </c>
      <c r="AT6" s="9" t="s">
        <v>102</v>
      </c>
      <c r="AU6" s="8"/>
      <c r="AW6" s="8" t="s">
        <v>50</v>
      </c>
      <c r="AX6" s="10" t="s">
        <v>13</v>
      </c>
      <c r="AY6" s="8" t="s">
        <v>14</v>
      </c>
      <c r="AZ6" s="9" t="s">
        <v>107</v>
      </c>
      <c r="BA6" s="8"/>
      <c r="BC6" s="8" t="s">
        <v>50</v>
      </c>
      <c r="BD6" s="10" t="s">
        <v>13</v>
      </c>
      <c r="BE6" s="8" t="s">
        <v>14</v>
      </c>
      <c r="BF6" s="9" t="s">
        <v>113</v>
      </c>
      <c r="BG6" s="8"/>
      <c r="BI6" s="8" t="s">
        <v>50</v>
      </c>
      <c r="BJ6" s="10" t="s">
        <v>13</v>
      </c>
      <c r="BK6" s="8" t="s">
        <v>14</v>
      </c>
      <c r="BL6" s="9" t="s">
        <v>116</v>
      </c>
      <c r="BM6" s="8"/>
      <c r="BO6" s="8" t="s">
        <v>50</v>
      </c>
      <c r="BP6" s="10" t="s">
        <v>13</v>
      </c>
      <c r="BQ6" s="8" t="s">
        <v>14</v>
      </c>
      <c r="BR6" s="9" t="s">
        <v>127</v>
      </c>
      <c r="BS6" s="8"/>
      <c r="BU6" s="8" t="s">
        <v>50</v>
      </c>
      <c r="BV6" s="10" t="s">
        <v>13</v>
      </c>
      <c r="BW6" s="8" t="s">
        <v>14</v>
      </c>
      <c r="BX6" s="9" t="s">
        <v>133</v>
      </c>
      <c r="BY6" s="8"/>
      <c r="CA6" s="8" t="s">
        <v>50</v>
      </c>
      <c r="CB6" s="10" t="s">
        <v>13</v>
      </c>
      <c r="CC6" s="8" t="s">
        <v>14</v>
      </c>
      <c r="CD6" s="9" t="s">
        <v>138</v>
      </c>
      <c r="CE6" s="8"/>
      <c r="CG6" s="8" t="s">
        <v>50</v>
      </c>
      <c r="CH6" s="10" t="s">
        <v>13</v>
      </c>
      <c r="CI6" s="8" t="s">
        <v>14</v>
      </c>
      <c r="CJ6" s="9" t="s">
        <v>142</v>
      </c>
      <c r="CK6" s="8"/>
      <c r="CM6" s="8" t="s">
        <v>50</v>
      </c>
      <c r="CN6" s="10" t="s">
        <v>13</v>
      </c>
      <c r="CO6" s="8" t="s">
        <v>14</v>
      </c>
      <c r="CP6" s="9" t="s">
        <v>147</v>
      </c>
      <c r="CQ6" s="8"/>
    </row>
    <row r="7" spans="1:95" ht="15">
      <c r="A7" s="2" t="s">
        <v>8</v>
      </c>
      <c r="B7" s="4" t="s">
        <v>9</v>
      </c>
      <c r="C7" s="2"/>
      <c r="D7" s="2" t="s">
        <v>16</v>
      </c>
      <c r="E7" s="2"/>
      <c r="G7" s="2" t="s">
        <v>8</v>
      </c>
      <c r="H7" s="4" t="s">
        <v>9</v>
      </c>
      <c r="I7" s="2"/>
      <c r="J7" s="2" t="s">
        <v>16</v>
      </c>
      <c r="K7" s="2"/>
      <c r="M7" s="8" t="s">
        <v>52</v>
      </c>
      <c r="N7" s="10"/>
      <c r="O7" s="8"/>
      <c r="P7" s="8" t="s">
        <v>16</v>
      </c>
      <c r="Q7" s="8"/>
      <c r="S7" s="8" t="s">
        <v>52</v>
      </c>
      <c r="T7" s="10"/>
      <c r="U7" s="8"/>
      <c r="V7" s="8" t="s">
        <v>16</v>
      </c>
      <c r="W7" s="8"/>
      <c r="Y7" s="8" t="s">
        <v>52</v>
      </c>
      <c r="Z7" s="10"/>
      <c r="AA7" s="8"/>
      <c r="AB7" s="8" t="s">
        <v>16</v>
      </c>
      <c r="AC7" s="8"/>
      <c r="AE7" s="8" t="s">
        <v>52</v>
      </c>
      <c r="AF7" s="10"/>
      <c r="AG7" s="8"/>
      <c r="AH7" s="8" t="s">
        <v>16</v>
      </c>
      <c r="AI7" s="8"/>
      <c r="AK7" s="8" t="s">
        <v>52</v>
      </c>
      <c r="AL7" s="10"/>
      <c r="AM7" s="8"/>
      <c r="AN7" s="8" t="s">
        <v>16</v>
      </c>
      <c r="AO7" s="8"/>
      <c r="AQ7" s="8" t="s">
        <v>52</v>
      </c>
      <c r="AR7" s="10"/>
      <c r="AS7" s="8"/>
      <c r="AT7" s="8" t="s">
        <v>16</v>
      </c>
      <c r="AU7" s="8"/>
      <c r="AW7" s="8" t="s">
        <v>52</v>
      </c>
      <c r="AX7" s="10"/>
      <c r="AY7" s="8"/>
      <c r="AZ7" s="8" t="s">
        <v>16</v>
      </c>
      <c r="BA7" s="8"/>
      <c r="BC7" s="8" t="s">
        <v>52</v>
      </c>
      <c r="BD7" s="10"/>
      <c r="BE7" s="8"/>
      <c r="BF7" s="8" t="s">
        <v>16</v>
      </c>
      <c r="BG7" s="8"/>
      <c r="BI7" s="8" t="s">
        <v>52</v>
      </c>
      <c r="BJ7" s="10"/>
      <c r="BK7" s="8"/>
      <c r="BL7" s="8" t="s">
        <v>16</v>
      </c>
      <c r="BM7" s="8"/>
      <c r="BO7" s="8" t="s">
        <v>52</v>
      </c>
      <c r="BP7" s="10"/>
      <c r="BQ7" s="8"/>
      <c r="BR7" s="8" t="s">
        <v>128</v>
      </c>
      <c r="BS7" s="8"/>
      <c r="BU7" s="8" t="s">
        <v>52</v>
      </c>
      <c r="BV7" s="10"/>
      <c r="BW7" s="8"/>
      <c r="BX7" s="8" t="s">
        <v>128</v>
      </c>
      <c r="BY7" s="8"/>
      <c r="CA7" s="8" t="s">
        <v>52</v>
      </c>
      <c r="CB7" s="10"/>
      <c r="CC7" s="8"/>
      <c r="CD7" s="8" t="s">
        <v>128</v>
      </c>
      <c r="CE7" s="8"/>
      <c r="CG7" s="8" t="s">
        <v>52</v>
      </c>
      <c r="CH7" s="10"/>
      <c r="CI7" s="8"/>
      <c r="CJ7" s="8" t="s">
        <v>128</v>
      </c>
      <c r="CK7" s="8"/>
      <c r="CM7" s="8" t="s">
        <v>52</v>
      </c>
      <c r="CN7" s="10"/>
      <c r="CO7" s="8"/>
      <c r="CP7" s="8" t="s">
        <v>128</v>
      </c>
      <c r="CQ7" s="8"/>
    </row>
    <row r="8" spans="1:95" ht="15">
      <c r="A8" s="2" t="s">
        <v>12</v>
      </c>
      <c r="B8" s="4" t="s">
        <v>13</v>
      </c>
      <c r="C8" s="2"/>
      <c r="D8" s="2" t="s">
        <v>17</v>
      </c>
      <c r="E8" s="2"/>
      <c r="G8" s="2" t="s">
        <v>12</v>
      </c>
      <c r="H8" s="4" t="s">
        <v>13</v>
      </c>
      <c r="I8" s="2"/>
      <c r="J8" s="2" t="s">
        <v>17</v>
      </c>
      <c r="K8" s="2"/>
      <c r="M8" s="8" t="s">
        <v>53</v>
      </c>
      <c r="N8" s="10"/>
      <c r="O8" s="8"/>
      <c r="P8" s="8" t="s">
        <v>17</v>
      </c>
      <c r="Q8" s="8"/>
      <c r="S8" s="8" t="s">
        <v>53</v>
      </c>
      <c r="T8" s="10"/>
      <c r="U8" s="8"/>
      <c r="V8" s="8" t="s">
        <v>17</v>
      </c>
      <c r="W8" s="8"/>
      <c r="Y8" s="8" t="s">
        <v>53</v>
      </c>
      <c r="Z8" s="10"/>
      <c r="AA8" s="8"/>
      <c r="AB8" s="8" t="s">
        <v>17</v>
      </c>
      <c r="AC8" s="8"/>
      <c r="AE8" s="8" t="s">
        <v>53</v>
      </c>
      <c r="AF8" s="10"/>
      <c r="AG8" s="8"/>
      <c r="AH8" s="8" t="s">
        <v>17</v>
      </c>
      <c r="AI8" s="8"/>
      <c r="AK8" s="8" t="s">
        <v>53</v>
      </c>
      <c r="AL8" s="10"/>
      <c r="AM8" s="8"/>
      <c r="AN8" s="8" t="s">
        <v>17</v>
      </c>
      <c r="AO8" s="8"/>
      <c r="AQ8" s="8" t="s">
        <v>53</v>
      </c>
      <c r="AR8" s="10"/>
      <c r="AS8" s="8"/>
      <c r="AT8" s="8" t="s">
        <v>17</v>
      </c>
      <c r="AU8" s="8"/>
      <c r="AW8" s="8" t="s">
        <v>53</v>
      </c>
      <c r="AX8" s="10"/>
      <c r="AY8" s="8"/>
      <c r="AZ8" s="8" t="s">
        <v>17</v>
      </c>
      <c r="BA8" s="8"/>
      <c r="BC8" s="8" t="s">
        <v>53</v>
      </c>
      <c r="BD8" s="10"/>
      <c r="BE8" s="8"/>
      <c r="BF8" s="8" t="s">
        <v>17</v>
      </c>
      <c r="BG8" s="8"/>
      <c r="BI8" s="8" t="s">
        <v>53</v>
      </c>
      <c r="BJ8" s="10"/>
      <c r="BK8" s="8"/>
      <c r="BL8" s="8" t="s">
        <v>17</v>
      </c>
      <c r="BM8" s="8"/>
      <c r="BO8" s="8" t="s">
        <v>53</v>
      </c>
      <c r="BP8" s="10"/>
      <c r="BQ8" s="8"/>
      <c r="BR8" s="8" t="s">
        <v>129</v>
      </c>
      <c r="BS8" s="8"/>
      <c r="BU8" s="8" t="s">
        <v>53</v>
      </c>
      <c r="BV8" s="10"/>
      <c r="BW8" s="8"/>
      <c r="BX8" s="8" t="s">
        <v>129</v>
      </c>
      <c r="BY8" s="8"/>
      <c r="CA8" s="8" t="s">
        <v>53</v>
      </c>
      <c r="CB8" s="10"/>
      <c r="CC8" s="8"/>
      <c r="CD8" s="8" t="s">
        <v>129</v>
      </c>
      <c r="CE8" s="8"/>
      <c r="CG8" s="8" t="s">
        <v>53</v>
      </c>
      <c r="CH8" s="10"/>
      <c r="CI8" s="8"/>
      <c r="CJ8" s="8" t="s">
        <v>129</v>
      </c>
      <c r="CK8" s="8"/>
      <c r="CM8" s="8" t="s">
        <v>53</v>
      </c>
      <c r="CN8" s="10"/>
      <c r="CO8" s="8"/>
      <c r="CP8" s="8" t="s">
        <v>129</v>
      </c>
      <c r="CQ8" s="8"/>
    </row>
    <row r="9" spans="1:95" ht="15">
      <c r="A9" s="4">
        <v>0.60499999999999998</v>
      </c>
      <c r="B9" s="4">
        <v>350.72</v>
      </c>
      <c r="C9" s="2" t="s">
        <v>18</v>
      </c>
      <c r="D9" s="2" t="s">
        <v>19</v>
      </c>
      <c r="E9" s="2"/>
      <c r="G9" s="4">
        <v>0.64</v>
      </c>
      <c r="H9" s="4">
        <v>365.55900991419702</v>
      </c>
      <c r="I9" s="2" t="s">
        <v>18</v>
      </c>
      <c r="J9" s="2" t="s">
        <v>38</v>
      </c>
      <c r="K9" s="2"/>
      <c r="M9" s="11">
        <v>0.24</v>
      </c>
      <c r="N9" s="10">
        <v>305.842748974926</v>
      </c>
      <c r="O9" s="8" t="s">
        <v>18</v>
      </c>
      <c r="P9" s="8" t="s">
        <v>54</v>
      </c>
      <c r="Q9" s="8"/>
      <c r="S9" s="10">
        <v>0.46</v>
      </c>
      <c r="T9" s="12">
        <v>335.055754109112</v>
      </c>
      <c r="U9" s="8" t="s">
        <v>18</v>
      </c>
      <c r="V9" s="8" t="s">
        <v>64</v>
      </c>
      <c r="W9" s="8"/>
      <c r="Y9" s="10">
        <v>0.48499999999999999</v>
      </c>
      <c r="Z9" s="10">
        <v>318.83493341873299</v>
      </c>
      <c r="AA9" s="8" t="s">
        <v>18</v>
      </c>
      <c r="AB9" s="8" t="s">
        <v>73</v>
      </c>
      <c r="AC9" s="8"/>
      <c r="AE9" s="8">
        <v>0.58299999999999996</v>
      </c>
      <c r="AF9" s="10">
        <v>333.22810059206103</v>
      </c>
      <c r="AG9" s="8" t="s">
        <v>18</v>
      </c>
      <c r="AH9" s="8" t="s">
        <v>82</v>
      </c>
      <c r="AI9" s="8"/>
      <c r="AK9" s="10">
        <v>0.505</v>
      </c>
      <c r="AL9" s="12">
        <v>312.13278344200597</v>
      </c>
      <c r="AM9" s="8" t="s">
        <v>18</v>
      </c>
      <c r="AN9" s="8" t="s">
        <v>93</v>
      </c>
      <c r="AO9" s="11">
        <v>304.66399999999999</v>
      </c>
      <c r="AQ9" s="13">
        <v>0.36</v>
      </c>
      <c r="AR9" s="10">
        <v>313.35839906537598</v>
      </c>
      <c r="AS9" s="8" t="s">
        <v>18</v>
      </c>
      <c r="AT9" s="8" t="s">
        <v>93</v>
      </c>
      <c r="AU9" s="11">
        <v>294.21491284720003</v>
      </c>
      <c r="AW9" s="10">
        <v>0.5</v>
      </c>
      <c r="AX9" s="12">
        <v>335.24397212876801</v>
      </c>
      <c r="AY9" s="8" t="s">
        <v>18</v>
      </c>
      <c r="AZ9" s="8" t="s">
        <v>93</v>
      </c>
      <c r="BA9" s="10">
        <v>302.09699999999998</v>
      </c>
      <c r="BC9" s="10">
        <v>0.51</v>
      </c>
      <c r="BD9" s="12">
        <v>350.88983924024899</v>
      </c>
      <c r="BE9" s="8" t="s">
        <v>18</v>
      </c>
      <c r="BF9" s="8" t="s">
        <v>93</v>
      </c>
      <c r="BG9" s="10">
        <v>333.12355791930003</v>
      </c>
      <c r="BI9" s="10">
        <v>0.56499999999999995</v>
      </c>
      <c r="BJ9" s="12">
        <v>315.49298453614603</v>
      </c>
      <c r="BK9" s="8" t="s">
        <v>18</v>
      </c>
      <c r="BL9" s="8" t="s">
        <v>117</v>
      </c>
      <c r="BM9" s="10"/>
      <c r="BO9" s="52">
        <v>0.60499999999999998</v>
      </c>
      <c r="BP9" s="52">
        <v>296.73847240935203</v>
      </c>
      <c r="BQ9" s="8" t="s">
        <v>18</v>
      </c>
      <c r="BR9" s="8" t="s">
        <v>93</v>
      </c>
      <c r="BS9" s="8">
        <v>300.28899999999999</v>
      </c>
      <c r="BU9" s="10">
        <v>0.61</v>
      </c>
      <c r="BV9" s="10">
        <v>330.52046214559499</v>
      </c>
      <c r="BW9" s="8" t="s">
        <v>18</v>
      </c>
      <c r="BX9" s="8" t="s">
        <v>93</v>
      </c>
      <c r="BY9" s="14">
        <v>316.03665250170002</v>
      </c>
      <c r="CA9" s="10">
        <v>9.5000000000000001E-2</v>
      </c>
      <c r="CB9" s="10">
        <v>168.87177119645301</v>
      </c>
      <c r="CC9" s="8" t="s">
        <v>18</v>
      </c>
      <c r="CD9" s="8" t="s">
        <v>93</v>
      </c>
      <c r="CE9" s="14">
        <v>304.4712148287</v>
      </c>
      <c r="CG9" s="10">
        <v>0.14000000000000001</v>
      </c>
      <c r="CH9" s="10">
        <v>303.75857710110301</v>
      </c>
      <c r="CI9" s="8" t="s">
        <v>18</v>
      </c>
      <c r="CJ9" s="8" t="s">
        <v>93</v>
      </c>
      <c r="CK9" s="11">
        <v>314.90699999999998</v>
      </c>
      <c r="CM9" s="10">
        <v>0.155</v>
      </c>
      <c r="CN9" s="10">
        <v>316.25627401486298</v>
      </c>
      <c r="CO9" s="8" t="s">
        <v>18</v>
      </c>
      <c r="CP9" s="8" t="s">
        <v>93</v>
      </c>
      <c r="CQ9" s="11">
        <v>312.16399999999999</v>
      </c>
    </row>
    <row r="10" spans="1:95" ht="15">
      <c r="A10" s="4">
        <v>1.69</v>
      </c>
      <c r="B10" s="4">
        <v>413.14</v>
      </c>
      <c r="C10" s="2" t="s">
        <v>18</v>
      </c>
      <c r="D10" s="2" t="s">
        <v>20</v>
      </c>
      <c r="E10" s="2"/>
      <c r="G10" s="4">
        <v>1.585</v>
      </c>
      <c r="H10" s="4">
        <v>387.19005827602098</v>
      </c>
      <c r="I10" s="2" t="s">
        <v>18</v>
      </c>
      <c r="J10" s="2" t="s">
        <v>39</v>
      </c>
      <c r="K10" s="2"/>
      <c r="M10" s="11">
        <v>0.75</v>
      </c>
      <c r="N10" s="10">
        <v>301.569144021532</v>
      </c>
      <c r="O10" s="8" t="s">
        <v>18</v>
      </c>
      <c r="P10" s="8" t="s">
        <v>55</v>
      </c>
      <c r="Q10" s="8"/>
      <c r="S10" s="10">
        <v>1.37</v>
      </c>
      <c r="T10" s="12">
        <v>377.86920266529103</v>
      </c>
      <c r="U10" s="8" t="s">
        <v>18</v>
      </c>
      <c r="V10" s="8" t="s">
        <v>65</v>
      </c>
      <c r="W10" s="8"/>
      <c r="Y10" s="10">
        <v>1.41</v>
      </c>
      <c r="Z10" s="10">
        <v>365.18825123994901</v>
      </c>
      <c r="AA10" s="8" t="s">
        <v>18</v>
      </c>
      <c r="AB10" s="8" t="s">
        <v>74</v>
      </c>
      <c r="AC10" s="8"/>
      <c r="AE10" s="8">
        <v>1.855</v>
      </c>
      <c r="AF10" s="10">
        <v>397.84122586217501</v>
      </c>
      <c r="AG10" s="8" t="s">
        <v>18</v>
      </c>
      <c r="AH10" s="8" t="s">
        <v>83</v>
      </c>
      <c r="AI10" s="8"/>
      <c r="AK10" s="10">
        <v>1.4450000000000001</v>
      </c>
      <c r="AL10" s="12">
        <v>379.77662282617803</v>
      </c>
      <c r="AM10" s="8" t="s">
        <v>18</v>
      </c>
      <c r="AN10" s="8" t="s">
        <v>94</v>
      </c>
      <c r="AO10" s="11">
        <v>46.244405179099999</v>
      </c>
      <c r="AQ10" s="13">
        <v>1.31</v>
      </c>
      <c r="AR10" s="10">
        <v>351.86730130350497</v>
      </c>
      <c r="AS10" s="8" t="s">
        <v>18</v>
      </c>
      <c r="AT10" s="8" t="s">
        <v>94</v>
      </c>
      <c r="AU10" s="11">
        <v>56.470006008299997</v>
      </c>
      <c r="AW10" s="10">
        <v>1.37</v>
      </c>
      <c r="AX10" s="12">
        <v>371.47624014638097</v>
      </c>
      <c r="AY10" s="8" t="s">
        <v>18</v>
      </c>
      <c r="AZ10" s="8" t="s">
        <v>94</v>
      </c>
      <c r="BA10" s="10">
        <v>71.550543243600004</v>
      </c>
      <c r="BC10" s="10">
        <v>1.425</v>
      </c>
      <c r="BD10" s="12">
        <v>373.95516999073499</v>
      </c>
      <c r="BE10" s="8" t="s">
        <v>18</v>
      </c>
      <c r="BF10" s="8" t="s">
        <v>94</v>
      </c>
      <c r="BG10" s="10">
        <v>38.4492898532</v>
      </c>
      <c r="BI10" s="10">
        <v>1.4</v>
      </c>
      <c r="BJ10" s="12">
        <v>438.56028763099999</v>
      </c>
      <c r="BK10" s="8" t="s">
        <v>18</v>
      </c>
      <c r="BL10" s="8" t="s">
        <v>118</v>
      </c>
      <c r="BM10" s="10"/>
      <c r="BO10" s="52">
        <v>1.58</v>
      </c>
      <c r="BP10" s="52">
        <v>378.18655666593099</v>
      </c>
      <c r="BQ10" s="8" t="s">
        <v>18</v>
      </c>
      <c r="BR10" s="8" t="s">
        <v>94</v>
      </c>
      <c r="BS10" s="8">
        <v>87.578000000000003</v>
      </c>
      <c r="BU10" s="10">
        <v>1.5980000000000001</v>
      </c>
      <c r="BV10" s="10">
        <v>385.513324405905</v>
      </c>
      <c r="BW10" s="8" t="s">
        <v>18</v>
      </c>
      <c r="BX10" s="8" t="s">
        <v>94</v>
      </c>
      <c r="BY10" s="14">
        <v>44.560359099800003</v>
      </c>
      <c r="CA10" s="10">
        <v>0.36499999999999999</v>
      </c>
      <c r="CB10" s="10">
        <v>338.681718899553</v>
      </c>
      <c r="CC10" s="8" t="s">
        <v>18</v>
      </c>
      <c r="CD10" s="8" t="s">
        <v>94</v>
      </c>
      <c r="CE10" s="14">
        <v>82.221400000000003</v>
      </c>
      <c r="CG10" s="10">
        <v>0.56000000000000005</v>
      </c>
      <c r="CH10" s="10">
        <v>318.53725038820801</v>
      </c>
      <c r="CI10" s="8" t="s">
        <v>18</v>
      </c>
      <c r="CJ10" s="8" t="s">
        <v>94</v>
      </c>
      <c r="CK10" s="11">
        <v>30.485536420399999</v>
      </c>
      <c r="CM10" s="10">
        <v>0.53</v>
      </c>
      <c r="CN10" s="10">
        <v>336.25098885960398</v>
      </c>
      <c r="CO10" s="8" t="s">
        <v>18</v>
      </c>
      <c r="CP10" s="8" t="s">
        <v>94</v>
      </c>
      <c r="CQ10" s="11">
        <v>44.667898062100001</v>
      </c>
    </row>
    <row r="11" spans="1:95" ht="15">
      <c r="A11" s="4">
        <v>2.39</v>
      </c>
      <c r="B11" s="4">
        <v>408.01499999999999</v>
      </c>
      <c r="C11" s="2" t="s">
        <v>18</v>
      </c>
      <c r="D11" s="2" t="s">
        <v>21</v>
      </c>
      <c r="E11" s="2"/>
      <c r="G11" s="4">
        <v>2.4950000000000001</v>
      </c>
      <c r="H11" s="4">
        <v>514.87281755282197</v>
      </c>
      <c r="I11" s="2" t="s">
        <v>18</v>
      </c>
      <c r="J11" s="2" t="s">
        <v>40</v>
      </c>
      <c r="K11" s="2"/>
      <c r="M11" s="11">
        <v>1.3</v>
      </c>
      <c r="N11" s="10">
        <v>368.78473956436301</v>
      </c>
      <c r="O11" s="8" t="s">
        <v>18</v>
      </c>
      <c r="P11" s="8" t="s">
        <v>56</v>
      </c>
      <c r="Q11" s="8"/>
      <c r="S11" s="10">
        <v>2.2250000000000001</v>
      </c>
      <c r="T11" s="12">
        <v>420.95500009886001</v>
      </c>
      <c r="U11" s="8" t="s">
        <v>18</v>
      </c>
      <c r="V11" s="8" t="s">
        <v>66</v>
      </c>
      <c r="W11" s="8"/>
      <c r="Y11" s="10">
        <v>2.4350000000000001</v>
      </c>
      <c r="Z11" s="10">
        <v>415.707270161395</v>
      </c>
      <c r="AA11" s="8" t="s">
        <v>18</v>
      </c>
      <c r="AB11" s="8" t="s">
        <v>75</v>
      </c>
      <c r="AC11" s="8"/>
      <c r="AE11" s="8">
        <v>3.11</v>
      </c>
      <c r="AF11" s="10">
        <v>453.52116527071098</v>
      </c>
      <c r="AG11" s="8" t="s">
        <v>18</v>
      </c>
      <c r="AH11" s="8" t="s">
        <v>84</v>
      </c>
      <c r="AI11" s="8"/>
      <c r="AK11" s="10">
        <v>2.4249999999999998</v>
      </c>
      <c r="AL11" s="12">
        <v>416.54790977299001</v>
      </c>
      <c r="AM11" s="8" t="s">
        <v>18</v>
      </c>
      <c r="AN11" s="8" t="s">
        <v>95</v>
      </c>
      <c r="AO11" s="11">
        <v>-4.3482947232000004</v>
      </c>
      <c r="AQ11" s="13">
        <v>2.35</v>
      </c>
      <c r="AR11" s="10">
        <v>408.56842279946102</v>
      </c>
      <c r="AS11" s="8" t="s">
        <v>18</v>
      </c>
      <c r="AT11" s="8" t="s">
        <v>95</v>
      </c>
      <c r="AU11" s="11">
        <v>-7.7602687081999999</v>
      </c>
      <c r="AW11" s="10">
        <v>2.2400000000000002</v>
      </c>
      <c r="AX11" s="12">
        <v>417.11327485523901</v>
      </c>
      <c r="AY11" s="8" t="s">
        <v>18</v>
      </c>
      <c r="AZ11" s="8" t="s">
        <v>95</v>
      </c>
      <c r="BA11" s="10">
        <v>-13.9315637635</v>
      </c>
      <c r="BC11" s="10">
        <v>2.38</v>
      </c>
      <c r="BD11" s="12">
        <v>426.53524748627899</v>
      </c>
      <c r="BE11" s="8" t="s">
        <v>18</v>
      </c>
      <c r="BF11" s="8" t="s">
        <v>95</v>
      </c>
      <c r="BG11" s="10">
        <v>-3.5179411796000002</v>
      </c>
      <c r="BI11" s="10">
        <v>2.23</v>
      </c>
      <c r="BJ11" s="12">
        <v>467.233440076921</v>
      </c>
      <c r="BK11" s="8" t="s">
        <v>18</v>
      </c>
      <c r="BL11" s="8" t="s">
        <v>119</v>
      </c>
      <c r="BM11" s="10"/>
      <c r="BO11" s="52">
        <v>2.6549999999999998</v>
      </c>
      <c r="BP11" s="52">
        <v>437.867982441192</v>
      </c>
      <c r="BQ11" s="8" t="s">
        <v>18</v>
      </c>
      <c r="BR11" s="8" t="s">
        <v>95</v>
      </c>
      <c r="BS11" s="8">
        <v>-18.821000000000002</v>
      </c>
      <c r="BU11" s="10">
        <v>2.5350000000000001</v>
      </c>
      <c r="BV11" s="10">
        <v>425.62579066861099</v>
      </c>
      <c r="BW11" s="8" t="s">
        <v>18</v>
      </c>
      <c r="BX11" s="8" t="s">
        <v>95</v>
      </c>
      <c r="BY11" s="14">
        <v>-3.9606587712999999</v>
      </c>
      <c r="CA11" s="10">
        <v>0.67</v>
      </c>
      <c r="CB11" s="10">
        <v>412.82343700451599</v>
      </c>
      <c r="CC11" s="8" t="s">
        <v>18</v>
      </c>
      <c r="CD11" s="8" t="s">
        <v>95</v>
      </c>
      <c r="CE11" s="15">
        <v>-12.187271667999999</v>
      </c>
      <c r="CG11" s="10">
        <v>1.375</v>
      </c>
      <c r="CH11" s="10">
        <v>370.19142277299898</v>
      </c>
      <c r="CI11" s="8" t="s">
        <v>18</v>
      </c>
      <c r="CJ11" s="8" t="s">
        <v>95</v>
      </c>
      <c r="CK11" s="11">
        <v>-1.5842592200000001</v>
      </c>
      <c r="CM11" s="10">
        <v>0.83499999999999996</v>
      </c>
      <c r="CN11" s="10">
        <v>312.31817067915398</v>
      </c>
      <c r="CO11" s="8" t="s">
        <v>18</v>
      </c>
      <c r="CP11" s="8" t="s">
        <v>95</v>
      </c>
      <c r="CQ11" s="11">
        <v>-4.6812036812000004</v>
      </c>
    </row>
    <row r="12" spans="1:95" ht="15">
      <c r="A12" s="4">
        <v>2.71</v>
      </c>
      <c r="B12" s="4">
        <v>432.90100000000001</v>
      </c>
      <c r="C12" s="2" t="s">
        <v>18</v>
      </c>
      <c r="D12" s="2" t="s">
        <v>22</v>
      </c>
      <c r="E12" s="2"/>
      <c r="G12" s="4">
        <v>3.46</v>
      </c>
      <c r="H12" s="4">
        <v>540.24261238415602</v>
      </c>
      <c r="I12" s="2" t="s">
        <v>18</v>
      </c>
      <c r="J12" s="2" t="s">
        <v>41</v>
      </c>
      <c r="K12" s="2"/>
      <c r="M12" s="11">
        <v>1.845</v>
      </c>
      <c r="N12" s="10">
        <v>418.006944875317</v>
      </c>
      <c r="O12" s="8" t="s">
        <v>18</v>
      </c>
      <c r="P12" s="8" t="s">
        <v>57</v>
      </c>
      <c r="Q12" s="8"/>
      <c r="S12" s="10">
        <v>3.2650000000000001</v>
      </c>
      <c r="T12" s="12">
        <v>481.72567027184698</v>
      </c>
      <c r="U12" s="8" t="s">
        <v>18</v>
      </c>
      <c r="V12" s="8" t="s">
        <v>67</v>
      </c>
      <c r="W12" s="8"/>
      <c r="Y12" s="10">
        <v>3.4849999999999999</v>
      </c>
      <c r="Z12" s="10">
        <v>452.47921455373302</v>
      </c>
      <c r="AA12" s="8" t="s">
        <v>18</v>
      </c>
      <c r="AB12" s="8" t="s">
        <v>76</v>
      </c>
      <c r="AC12" s="8"/>
      <c r="AE12" s="8">
        <v>4.2350000000000003</v>
      </c>
      <c r="AF12" s="10">
        <v>433.73271423926002</v>
      </c>
      <c r="AG12" s="8" t="s">
        <v>18</v>
      </c>
      <c r="AH12" s="8" t="s">
        <v>85</v>
      </c>
      <c r="AI12" s="8"/>
      <c r="AK12" s="10">
        <v>3.5350000000000001</v>
      </c>
      <c r="AL12" s="12">
        <v>405.07045693123098</v>
      </c>
      <c r="AM12" s="8" t="s">
        <v>18</v>
      </c>
      <c r="AN12" s="8" t="s">
        <v>96</v>
      </c>
      <c r="AO12" s="11">
        <v>0.18955685210000001</v>
      </c>
      <c r="AQ12" s="13">
        <v>3.3050000000000002</v>
      </c>
      <c r="AR12" s="10">
        <v>403.90688131994699</v>
      </c>
      <c r="AS12" s="8" t="s">
        <v>18</v>
      </c>
      <c r="AT12" s="8" t="s">
        <v>96</v>
      </c>
      <c r="AU12" s="11">
        <v>0.64730441620000001</v>
      </c>
      <c r="AW12" s="10">
        <v>3.2480000000000002</v>
      </c>
      <c r="AX12" s="12">
        <v>434.90852232480898</v>
      </c>
      <c r="AY12" s="8" t="s">
        <v>18</v>
      </c>
      <c r="AZ12" s="8" t="s">
        <v>96</v>
      </c>
      <c r="BA12" s="10">
        <v>1.3962385297</v>
      </c>
      <c r="BC12" s="10">
        <v>3.48</v>
      </c>
      <c r="BD12" s="12">
        <v>425.72500413963002</v>
      </c>
      <c r="BE12" s="8" t="s">
        <v>18</v>
      </c>
      <c r="BF12" s="8" t="s">
        <v>96</v>
      </c>
      <c r="BG12" s="10">
        <v>0.21780004610000001</v>
      </c>
      <c r="BI12" s="10">
        <v>3.16</v>
      </c>
      <c r="BJ12" s="12">
        <v>505.33845174151003</v>
      </c>
      <c r="BK12" s="8" t="s">
        <v>18</v>
      </c>
      <c r="BL12" s="8" t="s">
        <v>120</v>
      </c>
      <c r="BM12" s="10"/>
      <c r="BO12" s="52">
        <v>4.0750000000000002</v>
      </c>
      <c r="BP12" s="52">
        <v>426.64094324123403</v>
      </c>
      <c r="BQ12" s="8" t="s">
        <v>18</v>
      </c>
      <c r="BR12" s="8" t="s">
        <v>96</v>
      </c>
      <c r="BS12" s="8">
        <v>2.0009999999999999</v>
      </c>
      <c r="BU12" s="10">
        <v>3.7450000000000001</v>
      </c>
      <c r="BV12" s="10">
        <v>431.43232265833802</v>
      </c>
      <c r="BW12" s="8" t="s">
        <v>18</v>
      </c>
      <c r="BX12" s="8" t="s">
        <v>96</v>
      </c>
      <c r="BY12" s="14">
        <v>0.15337392990000001</v>
      </c>
      <c r="CA12" s="10">
        <v>1.0649999999999999</v>
      </c>
      <c r="CB12" s="10">
        <v>382.45233117327899</v>
      </c>
      <c r="CC12" s="8" t="s">
        <v>18</v>
      </c>
      <c r="CD12" s="8" t="s">
        <v>96</v>
      </c>
      <c r="CE12" s="15">
        <v>0.83465111039999995</v>
      </c>
      <c r="CG12" s="10">
        <v>2.375</v>
      </c>
      <c r="CH12" s="10">
        <v>409.35335900625103</v>
      </c>
      <c r="CI12" s="8" t="s">
        <v>18</v>
      </c>
      <c r="CJ12" s="8" t="s">
        <v>96</v>
      </c>
      <c r="CK12" s="11">
        <v>4.8047552899999998E-2</v>
      </c>
      <c r="CM12" s="10">
        <v>1.157</v>
      </c>
      <c r="CN12" s="10">
        <v>355.97097166490403</v>
      </c>
      <c r="CO12" s="8" t="s">
        <v>18</v>
      </c>
      <c r="CP12" s="8" t="s">
        <v>96</v>
      </c>
      <c r="CQ12" s="11">
        <v>0.21475996110000001</v>
      </c>
    </row>
    <row r="13" spans="1:95" ht="15">
      <c r="A13" s="4">
        <v>3.33</v>
      </c>
      <c r="B13" s="4">
        <v>418.33300000000003</v>
      </c>
      <c r="C13" s="2" t="s">
        <v>18</v>
      </c>
      <c r="D13" s="2" t="s">
        <v>23</v>
      </c>
      <c r="E13" s="2"/>
      <c r="G13" s="4">
        <v>4.343</v>
      </c>
      <c r="H13" s="4">
        <v>532.94285799059003</v>
      </c>
      <c r="I13" s="2" t="s">
        <v>18</v>
      </c>
      <c r="J13" s="2"/>
      <c r="K13" s="2"/>
      <c r="M13" s="11">
        <v>2.548</v>
      </c>
      <c r="N13" s="10">
        <v>438.72196884303003</v>
      </c>
      <c r="O13" s="8" t="s">
        <v>18</v>
      </c>
      <c r="P13" s="8" t="s">
        <v>58</v>
      </c>
      <c r="Q13" s="8"/>
      <c r="S13" s="10">
        <v>4.0250000000000004</v>
      </c>
      <c r="T13" s="12">
        <v>415.38488431316802</v>
      </c>
      <c r="U13" s="8" t="s">
        <v>18</v>
      </c>
      <c r="V13" s="8"/>
      <c r="W13" s="8"/>
      <c r="Y13" s="10">
        <v>4.43</v>
      </c>
      <c r="Z13" s="10">
        <v>434.12276164415101</v>
      </c>
      <c r="AA13" s="8" t="s">
        <v>18</v>
      </c>
      <c r="AB13" s="8"/>
      <c r="AC13" s="8"/>
      <c r="AE13" s="8">
        <v>5.3</v>
      </c>
      <c r="AF13" s="10">
        <v>457.738007989805</v>
      </c>
      <c r="AG13" s="8" t="s">
        <v>18</v>
      </c>
      <c r="AH13" s="8" t="s">
        <v>86</v>
      </c>
      <c r="AI13" s="8"/>
      <c r="AK13" s="10">
        <v>4.2450000000000001</v>
      </c>
      <c r="AL13" s="12">
        <v>415.763633793228</v>
      </c>
      <c r="AM13" s="8" t="s">
        <v>18</v>
      </c>
      <c r="AN13" s="8" t="s">
        <v>97</v>
      </c>
      <c r="AO13" s="11">
        <v>0.96730455280000005</v>
      </c>
      <c r="AQ13" s="13">
        <v>4.3849999999999998</v>
      </c>
      <c r="AR13" s="10">
        <v>431.10074218538398</v>
      </c>
      <c r="AS13" s="8" t="s">
        <v>18</v>
      </c>
      <c r="AT13" s="8" t="s">
        <v>103</v>
      </c>
      <c r="AU13" s="11">
        <v>-2.0823906E-2</v>
      </c>
      <c r="AW13" s="10">
        <v>4.0449999999999999</v>
      </c>
      <c r="AX13" s="12">
        <v>426.953959340457</v>
      </c>
      <c r="AY13" s="8" t="s">
        <v>18</v>
      </c>
      <c r="AZ13" s="8" t="s">
        <v>103</v>
      </c>
      <c r="BA13" s="10">
        <v>-4.9056980299999997E-2</v>
      </c>
      <c r="BC13" s="10">
        <v>4.5449999999999999</v>
      </c>
      <c r="BD13" s="12">
        <v>442.79090251596199</v>
      </c>
      <c r="BE13" s="8" t="s">
        <v>18</v>
      </c>
      <c r="BF13" s="8" t="s">
        <v>103</v>
      </c>
      <c r="BG13" s="10">
        <v>-5.3717209212999998E-3</v>
      </c>
      <c r="BI13" s="10">
        <v>4.0999999999999996</v>
      </c>
      <c r="BJ13" s="12">
        <v>435.75822356992398</v>
      </c>
      <c r="BK13" s="8" t="s">
        <v>18</v>
      </c>
      <c r="BL13" s="8"/>
      <c r="BM13" s="10"/>
      <c r="BO13" s="52">
        <v>5.0999999999999996</v>
      </c>
      <c r="BP13" s="52">
        <v>468.86214502819098</v>
      </c>
      <c r="BQ13" s="8" t="s">
        <v>18</v>
      </c>
      <c r="BR13" s="8" t="s">
        <v>103</v>
      </c>
      <c r="BS13" s="8">
        <v>-7.4999999999999997E-2</v>
      </c>
      <c r="BU13" s="10">
        <v>4.5449999999999999</v>
      </c>
      <c r="BV13" s="10">
        <v>445.17410478274201</v>
      </c>
      <c r="BW13" s="8" t="s">
        <v>18</v>
      </c>
      <c r="BX13" s="8" t="s">
        <v>123</v>
      </c>
      <c r="BY13" s="14">
        <v>0.97574156739999995</v>
      </c>
      <c r="CA13" s="10">
        <v>1.8</v>
      </c>
      <c r="CB13" s="10">
        <v>403.91492791492101</v>
      </c>
      <c r="CC13" s="8" t="s">
        <v>18</v>
      </c>
      <c r="CD13" s="8" t="s">
        <v>103</v>
      </c>
      <c r="CE13" s="15">
        <v>-2.0472087699999999E-2</v>
      </c>
      <c r="CG13" s="10">
        <v>3.125</v>
      </c>
      <c r="CH13" s="10">
        <v>432.901445209955</v>
      </c>
      <c r="CI13" s="8" t="s">
        <v>18</v>
      </c>
      <c r="CJ13" s="8" t="s">
        <v>97</v>
      </c>
      <c r="CK13" s="11">
        <v>0.94937028909999999</v>
      </c>
      <c r="CM13" s="10">
        <v>1.5649999999999999</v>
      </c>
      <c r="CN13" s="10">
        <v>390.58495445846302</v>
      </c>
      <c r="CO13" s="8" t="s">
        <v>18</v>
      </c>
      <c r="CP13" s="8" t="s">
        <v>97</v>
      </c>
      <c r="CQ13" s="11">
        <v>0.87906990559999998</v>
      </c>
    </row>
    <row r="14" spans="1:95" ht="15">
      <c r="A14" s="4">
        <v>4.34</v>
      </c>
      <c r="B14" s="4">
        <v>440.16500000000002</v>
      </c>
      <c r="C14" s="2" t="s">
        <v>18</v>
      </c>
      <c r="D14" s="2" t="s">
        <v>24</v>
      </c>
      <c r="E14" s="2"/>
      <c r="G14" s="4">
        <v>5.4550000000000001</v>
      </c>
      <c r="H14" s="4">
        <v>521.05044515122404</v>
      </c>
      <c r="I14" s="2" t="s">
        <v>18</v>
      </c>
      <c r="J14" s="2"/>
      <c r="K14" s="2"/>
      <c r="M14" s="10">
        <v>3.4649999999999999</v>
      </c>
      <c r="N14" s="10">
        <v>506.90849374768698</v>
      </c>
      <c r="O14" s="8" t="s">
        <v>18</v>
      </c>
      <c r="P14" s="8"/>
      <c r="Q14" s="8"/>
      <c r="S14" s="10">
        <v>4.83</v>
      </c>
      <c r="T14" s="12">
        <v>461.63257567149299</v>
      </c>
      <c r="U14" s="8" t="s">
        <v>18</v>
      </c>
      <c r="V14" s="8"/>
      <c r="W14" s="8"/>
      <c r="Y14" s="10">
        <v>5.3449999999999998</v>
      </c>
      <c r="Z14" s="10">
        <v>464.25504449789003</v>
      </c>
      <c r="AA14" s="8" t="s">
        <v>18</v>
      </c>
      <c r="AB14" s="8"/>
      <c r="AC14" s="8"/>
      <c r="AE14" s="8">
        <v>6.2</v>
      </c>
      <c r="AF14" s="10">
        <v>486.77916130449302</v>
      </c>
      <c r="AG14" s="8" t="s">
        <v>18</v>
      </c>
      <c r="AH14" s="8" t="s">
        <v>87</v>
      </c>
      <c r="AI14" s="8"/>
      <c r="AK14" s="10">
        <v>4.8899999999999997</v>
      </c>
      <c r="AL14" s="12">
        <v>450.58276213056899</v>
      </c>
      <c r="AM14" s="8" t="s">
        <v>18</v>
      </c>
      <c r="AN14" s="8"/>
      <c r="AO14" s="8"/>
      <c r="AQ14" s="13">
        <v>5.492</v>
      </c>
      <c r="AR14" s="10">
        <v>463.51548885500699</v>
      </c>
      <c r="AS14" s="8" t="s">
        <v>18</v>
      </c>
      <c r="AT14" s="8" t="s">
        <v>97</v>
      </c>
      <c r="AU14" s="11">
        <v>0.98354267370000004</v>
      </c>
      <c r="AW14" s="10">
        <v>4.79</v>
      </c>
      <c r="AX14" s="12">
        <v>443.16243172015197</v>
      </c>
      <c r="AY14" s="8" t="s">
        <v>18</v>
      </c>
      <c r="AZ14" s="10" t="s">
        <v>108</v>
      </c>
      <c r="BA14" s="10">
        <v>0.97860943509999998</v>
      </c>
      <c r="BC14" s="10">
        <v>5.51</v>
      </c>
      <c r="BD14" s="12">
        <v>476.37789717405502</v>
      </c>
      <c r="BE14" s="8" t="s">
        <v>18</v>
      </c>
      <c r="BF14" s="10" t="s">
        <v>108</v>
      </c>
      <c r="BG14" s="10">
        <v>0.98905424789999996</v>
      </c>
      <c r="BI14" s="10">
        <v>5.08</v>
      </c>
      <c r="BJ14" s="12">
        <v>456.64086426312701</v>
      </c>
      <c r="BK14" s="8" t="s">
        <v>18</v>
      </c>
      <c r="BL14" s="8" t="s">
        <v>93</v>
      </c>
      <c r="BM14" s="8">
        <v>302.47300000000001</v>
      </c>
      <c r="BO14" s="52">
        <v>5.8150000000000004</v>
      </c>
      <c r="BP14" s="52">
        <v>461.04566338178</v>
      </c>
      <c r="BQ14" s="8" t="s">
        <v>18</v>
      </c>
      <c r="BR14" s="8" t="s">
        <v>121</v>
      </c>
      <c r="BS14" s="8">
        <v>0.96799999999999997</v>
      </c>
      <c r="BU14" s="10">
        <v>5.1449999999999996</v>
      </c>
      <c r="BV14" s="10">
        <v>443.232535478393</v>
      </c>
      <c r="BW14" s="8" t="s">
        <v>18</v>
      </c>
      <c r="BX14" s="8"/>
      <c r="BY14" s="8"/>
      <c r="CA14" s="10">
        <v>2.4649999999999999</v>
      </c>
      <c r="CB14" s="10">
        <v>457.38682107024698</v>
      </c>
      <c r="CC14" s="8" t="s">
        <v>18</v>
      </c>
      <c r="CD14" s="8" t="s">
        <v>97</v>
      </c>
      <c r="CE14" s="15">
        <v>0.88026986210000002</v>
      </c>
      <c r="CG14" s="10">
        <v>3.54</v>
      </c>
      <c r="CH14" s="10">
        <v>400.09104155716398</v>
      </c>
      <c r="CI14" s="8" t="s">
        <v>18</v>
      </c>
      <c r="CJ14" s="8"/>
      <c r="CK14" s="8"/>
      <c r="CM14" s="10">
        <v>1.843</v>
      </c>
      <c r="CN14" s="10">
        <v>341.70196154055299</v>
      </c>
      <c r="CO14" s="8" t="s">
        <v>18</v>
      </c>
      <c r="CP14" s="8"/>
      <c r="CQ14" s="8"/>
    </row>
    <row r="15" spans="1:95" ht="15">
      <c r="A15" s="4">
        <v>5.4749999999999996</v>
      </c>
      <c r="B15" s="4">
        <v>476.71699999999998</v>
      </c>
      <c r="C15" s="2" t="s">
        <v>18</v>
      </c>
      <c r="D15" s="2"/>
      <c r="E15" s="2"/>
      <c r="G15" s="4">
        <v>6.3049999999999997</v>
      </c>
      <c r="H15" s="4">
        <v>496.86038653860999</v>
      </c>
      <c r="I15" s="2" t="s">
        <v>18</v>
      </c>
      <c r="J15" s="2"/>
      <c r="K15" s="2"/>
      <c r="M15" s="10">
        <v>4.13</v>
      </c>
      <c r="N15" s="10">
        <v>488.803191081227</v>
      </c>
      <c r="O15" s="8" t="s">
        <v>18</v>
      </c>
      <c r="P15" s="8"/>
      <c r="Q15" s="8"/>
      <c r="S15" s="10">
        <v>5.63</v>
      </c>
      <c r="T15" s="12">
        <v>396.28816336968401</v>
      </c>
      <c r="U15" s="8" t="s">
        <v>18</v>
      </c>
      <c r="V15" s="8"/>
      <c r="W15" s="8"/>
      <c r="Y15" s="10">
        <v>6.21</v>
      </c>
      <c r="Z15" s="10">
        <v>492.72965194655802</v>
      </c>
      <c r="AA15" s="8" t="s">
        <v>18</v>
      </c>
      <c r="AB15" s="8"/>
      <c r="AC15" s="8"/>
      <c r="AE15" s="8">
        <v>7.0720000000000001</v>
      </c>
      <c r="AF15" s="10">
        <v>508.54013065801701</v>
      </c>
      <c r="AG15" s="8" t="s">
        <v>18</v>
      </c>
      <c r="AH15" s="8"/>
      <c r="AI15" s="8"/>
      <c r="AK15" s="10">
        <v>5.7919999999999998</v>
      </c>
      <c r="AL15" s="12">
        <v>472.74714534715702</v>
      </c>
      <c r="AM15" s="8" t="s">
        <v>18</v>
      </c>
      <c r="AN15" s="8"/>
      <c r="AO15" s="8"/>
      <c r="AQ15" s="13">
        <v>6.2850000000000001</v>
      </c>
      <c r="AR15" s="10">
        <v>486.299102960011</v>
      </c>
      <c r="AS15" s="8" t="s">
        <v>18</v>
      </c>
      <c r="AT15" s="8"/>
      <c r="AU15" s="8"/>
      <c r="AW15" s="10">
        <v>5.7050000000000001</v>
      </c>
      <c r="AX15" s="12">
        <v>483.794450727933</v>
      </c>
      <c r="AY15" s="8" t="s">
        <v>18</v>
      </c>
      <c r="AZ15" s="8"/>
      <c r="BA15" s="8"/>
      <c r="BC15" s="10">
        <v>6.165</v>
      </c>
      <c r="BD15" s="12">
        <v>485.56145233312498</v>
      </c>
      <c r="BE15" s="8" t="s">
        <v>18</v>
      </c>
      <c r="BF15" s="8"/>
      <c r="BG15" s="10"/>
      <c r="BI15" s="10">
        <v>0.57499999999999996</v>
      </c>
      <c r="BJ15" s="12">
        <v>319.195618040998</v>
      </c>
      <c r="BK15" s="8" t="s">
        <v>18</v>
      </c>
      <c r="BL15" s="8" t="s">
        <v>94</v>
      </c>
      <c r="BM15" s="8">
        <v>71.66</v>
      </c>
      <c r="BO15" s="52">
        <v>6.79</v>
      </c>
      <c r="BP15" s="52">
        <v>500.35554816948598</v>
      </c>
      <c r="BQ15" s="8" t="s">
        <v>18</v>
      </c>
      <c r="BR15" s="8"/>
      <c r="BS15" s="8"/>
      <c r="BU15" s="10">
        <v>6.0949999999999998</v>
      </c>
      <c r="BV15" s="10">
        <v>482.785075878405</v>
      </c>
      <c r="BW15" s="8" t="s">
        <v>18</v>
      </c>
      <c r="BX15" s="8"/>
      <c r="BY15" s="8"/>
      <c r="CA15" s="10">
        <v>2.7749999999999999</v>
      </c>
      <c r="CB15" s="10">
        <v>429.02636833467398</v>
      </c>
      <c r="CC15" s="8" t="s">
        <v>18</v>
      </c>
      <c r="CD15" s="8"/>
      <c r="CE15" s="8"/>
      <c r="CG15" s="10">
        <v>3.835</v>
      </c>
      <c r="CH15" s="10">
        <v>396.63340969325702</v>
      </c>
      <c r="CI15" s="8" t="s">
        <v>18</v>
      </c>
      <c r="CJ15" s="8"/>
      <c r="CK15" s="8"/>
      <c r="CM15" s="10">
        <v>2.02</v>
      </c>
      <c r="CN15" s="10">
        <v>431.991988392287</v>
      </c>
      <c r="CO15" s="8" t="s">
        <v>18</v>
      </c>
      <c r="CP15" s="8"/>
      <c r="CQ15" s="8"/>
    </row>
    <row r="16" spans="1:95" ht="15">
      <c r="A16" s="4">
        <v>6.72</v>
      </c>
      <c r="B16" s="4">
        <v>484.803</v>
      </c>
      <c r="C16" s="2" t="s">
        <v>18</v>
      </c>
      <c r="D16" s="2"/>
      <c r="E16" s="2"/>
      <c r="G16" s="4">
        <v>7.0650000000000004</v>
      </c>
      <c r="H16" s="4">
        <v>619.45768655235895</v>
      </c>
      <c r="I16" s="2" t="s">
        <v>18</v>
      </c>
      <c r="J16" s="2"/>
      <c r="K16" s="2"/>
      <c r="M16" s="10">
        <v>4.6749999999999998</v>
      </c>
      <c r="N16" s="10">
        <v>485.56568048927602</v>
      </c>
      <c r="O16" s="8" t="s">
        <v>18</v>
      </c>
      <c r="P16" s="8"/>
      <c r="Q16" s="8"/>
      <c r="S16" s="10">
        <v>6.3150000000000004</v>
      </c>
      <c r="T16" s="12">
        <v>527.97921285125403</v>
      </c>
      <c r="U16" s="8" t="s">
        <v>18</v>
      </c>
      <c r="V16" s="8"/>
      <c r="W16" s="8"/>
      <c r="Y16" s="10">
        <v>7.0250000000000004</v>
      </c>
      <c r="Z16" s="10">
        <v>504.93409505943902</v>
      </c>
      <c r="AA16" s="8" t="s">
        <v>18</v>
      </c>
      <c r="AB16" s="8"/>
      <c r="AC16" s="8"/>
      <c r="AE16" s="8">
        <v>7.8029999999999999</v>
      </c>
      <c r="AF16" s="10">
        <v>484.43115316415702</v>
      </c>
      <c r="AG16" s="8" t="s">
        <v>18</v>
      </c>
      <c r="AH16" s="8"/>
      <c r="AI16" s="8"/>
      <c r="AK16" s="10">
        <v>6.7969999999999997</v>
      </c>
      <c r="AL16" s="12">
        <v>483.10203390236302</v>
      </c>
      <c r="AM16" s="8" t="s">
        <v>18</v>
      </c>
      <c r="AN16" s="8"/>
      <c r="AO16" s="8"/>
      <c r="AQ16" s="13">
        <v>7.1050000000000004</v>
      </c>
      <c r="AR16" s="10">
        <v>475.857833967533</v>
      </c>
      <c r="AS16" s="8" t="s">
        <v>18</v>
      </c>
      <c r="AT16" s="8"/>
      <c r="AU16" s="8"/>
      <c r="AW16" s="10">
        <v>6.7869999999999999</v>
      </c>
      <c r="AX16" s="12">
        <v>482.81916194880802</v>
      </c>
      <c r="AY16" s="8" t="s">
        <v>18</v>
      </c>
      <c r="AZ16" s="8"/>
      <c r="BA16" s="8"/>
      <c r="BC16" s="10">
        <v>7.01</v>
      </c>
      <c r="BD16" s="12">
        <v>489.02193388261901</v>
      </c>
      <c r="BE16" s="8" t="s">
        <v>18</v>
      </c>
      <c r="BF16" s="8"/>
      <c r="BG16" s="8"/>
      <c r="BI16" s="10">
        <v>1.4750000000000001</v>
      </c>
      <c r="BJ16" s="12">
        <v>405.67370725331102</v>
      </c>
      <c r="BK16" s="8" t="s">
        <v>18</v>
      </c>
      <c r="BL16" s="8" t="s">
        <v>95</v>
      </c>
      <c r="BM16" s="8">
        <v>-10.494</v>
      </c>
      <c r="BO16" s="10">
        <v>7.7450000000000001</v>
      </c>
      <c r="BP16" s="10">
        <v>516.92931914752899</v>
      </c>
      <c r="BQ16" s="8" t="s">
        <v>18</v>
      </c>
      <c r="BR16" s="8"/>
      <c r="BS16" s="8"/>
      <c r="BU16" s="10">
        <v>6.9550000000000001</v>
      </c>
      <c r="BV16" s="10">
        <v>491.45973016318999</v>
      </c>
      <c r="BW16" s="8" t="s">
        <v>18</v>
      </c>
      <c r="BX16" s="8"/>
      <c r="BY16" s="8"/>
      <c r="CA16" s="10">
        <v>2.98</v>
      </c>
      <c r="CB16" s="10">
        <v>423.70582627575698</v>
      </c>
      <c r="CC16" s="8" t="s">
        <v>18</v>
      </c>
      <c r="CD16" s="8"/>
      <c r="CE16" s="8"/>
      <c r="CG16" s="10">
        <v>4.5</v>
      </c>
      <c r="CH16" s="10">
        <v>415.38488431316802</v>
      </c>
      <c r="CI16" s="8" t="s">
        <v>18</v>
      </c>
      <c r="CJ16" s="8"/>
      <c r="CK16" s="8"/>
      <c r="CM16" s="10">
        <v>2.3279999999999998</v>
      </c>
      <c r="CN16" s="10">
        <v>429.684840044309</v>
      </c>
      <c r="CO16" s="8" t="s">
        <v>18</v>
      </c>
      <c r="CP16" s="8"/>
      <c r="CQ16" s="8"/>
    </row>
    <row r="17" spans="1:95" ht="15">
      <c r="A17" s="4">
        <v>7.8250000000000002</v>
      </c>
      <c r="B17" s="4">
        <v>511.98899999999998</v>
      </c>
      <c r="C17" s="2" t="s">
        <v>18</v>
      </c>
      <c r="D17" s="2"/>
      <c r="E17" s="2"/>
      <c r="G17" s="4">
        <v>8.0549999999999997</v>
      </c>
      <c r="H17" s="4">
        <v>656.04381472513001</v>
      </c>
      <c r="I17" s="2" t="s">
        <v>18</v>
      </c>
      <c r="J17" s="2"/>
      <c r="K17" s="2"/>
      <c r="M17" s="10">
        <v>5.5579999999999998</v>
      </c>
      <c r="N17" s="10">
        <v>495.08026588323497</v>
      </c>
      <c r="O17" s="8" t="s">
        <v>18</v>
      </c>
      <c r="P17" s="8"/>
      <c r="Q17" s="8"/>
      <c r="S17" s="10">
        <v>7.0449999999999999</v>
      </c>
      <c r="T17" s="12">
        <v>470.89359426891502</v>
      </c>
      <c r="U17" s="8" t="s">
        <v>18</v>
      </c>
      <c r="V17" s="8"/>
      <c r="W17" s="8"/>
      <c r="Y17" s="10">
        <v>8.0820000000000007</v>
      </c>
      <c r="Z17" s="10">
        <v>496.10549925342099</v>
      </c>
      <c r="AA17" s="8" t="s">
        <v>18</v>
      </c>
      <c r="AB17" s="8"/>
      <c r="AC17" s="8"/>
      <c r="AE17" s="8">
        <v>8.3829999999999991</v>
      </c>
      <c r="AF17" s="10">
        <v>530.89322505160203</v>
      </c>
      <c r="AG17" s="8" t="s">
        <v>18</v>
      </c>
      <c r="AH17" s="8"/>
      <c r="AI17" s="8"/>
      <c r="AK17" s="10">
        <v>7.8570000000000002</v>
      </c>
      <c r="AL17" s="12">
        <v>483.57352580199802</v>
      </c>
      <c r="AM17" s="8" t="s">
        <v>18</v>
      </c>
      <c r="AN17" s="8"/>
      <c r="AO17" s="8"/>
      <c r="AQ17" s="13">
        <v>8.0950000000000006</v>
      </c>
      <c r="AR17" s="10">
        <v>488.08536656738499</v>
      </c>
      <c r="AS17" s="8" t="s">
        <v>18</v>
      </c>
      <c r="AT17" s="8"/>
      <c r="AU17" s="8"/>
      <c r="AW17" s="10">
        <v>7.7149999999999999</v>
      </c>
      <c r="AX17" s="12">
        <v>490.46223188182898</v>
      </c>
      <c r="AY17" s="8" t="s">
        <v>18</v>
      </c>
      <c r="AZ17" s="8"/>
      <c r="BA17" s="8"/>
      <c r="BC17" s="10">
        <v>8.0549999999999997</v>
      </c>
      <c r="BD17" s="12">
        <v>495.40835821270798</v>
      </c>
      <c r="BE17" s="8" t="s">
        <v>18</v>
      </c>
      <c r="BF17" s="8"/>
      <c r="BG17" s="8"/>
      <c r="BI17" s="10">
        <v>2.02</v>
      </c>
      <c r="BJ17" s="12">
        <v>449.39568476675203</v>
      </c>
      <c r="BK17" s="8" t="s">
        <v>18</v>
      </c>
      <c r="BL17" s="8" t="s">
        <v>96</v>
      </c>
      <c r="BM17" s="8">
        <v>0.751</v>
      </c>
      <c r="BO17" s="10">
        <v>8.7149999999999999</v>
      </c>
      <c r="BP17" s="10">
        <v>513.34238969914998</v>
      </c>
      <c r="BQ17" s="8" t="s">
        <v>18</v>
      </c>
      <c r="BR17" s="8"/>
      <c r="BS17" s="8"/>
      <c r="BU17" s="10">
        <v>7.7050000000000001</v>
      </c>
      <c r="BV17" s="10">
        <v>490.619628060347</v>
      </c>
      <c r="BW17" s="8" t="s">
        <v>18</v>
      </c>
      <c r="BX17" s="8"/>
      <c r="BY17" s="8"/>
      <c r="CA17" s="10">
        <v>3.23</v>
      </c>
      <c r="CB17" s="10">
        <v>504.12328224357799</v>
      </c>
      <c r="CC17" s="8" t="s">
        <v>18</v>
      </c>
      <c r="CD17" s="8"/>
      <c r="CE17" s="8"/>
      <c r="CG17" s="10">
        <v>5.14</v>
      </c>
      <c r="CH17" s="10">
        <v>405.20353262434497</v>
      </c>
      <c r="CI17" s="8" t="s">
        <v>18</v>
      </c>
      <c r="CJ17" s="8"/>
      <c r="CK17" s="8"/>
      <c r="CM17" s="10">
        <v>2.73</v>
      </c>
      <c r="CN17" s="10">
        <v>378.49939193490701</v>
      </c>
      <c r="CO17" s="8" t="s">
        <v>18</v>
      </c>
      <c r="CP17" s="8"/>
      <c r="CQ17" s="8"/>
    </row>
    <row r="18" spans="1:95" ht="15">
      <c r="A18" s="4">
        <v>8.8450000000000006</v>
      </c>
      <c r="B18" s="4">
        <v>517.19500000000005</v>
      </c>
      <c r="C18" s="2" t="s">
        <v>18</v>
      </c>
      <c r="D18" s="2"/>
      <c r="E18" s="2"/>
      <c r="G18" s="4">
        <v>8.9649999999999999</v>
      </c>
      <c r="H18" s="4">
        <v>610.85138343185997</v>
      </c>
      <c r="I18" s="2" t="s">
        <v>18</v>
      </c>
      <c r="J18" s="2"/>
      <c r="K18" s="2"/>
      <c r="M18" s="10">
        <v>6.4749999999999996</v>
      </c>
      <c r="N18" s="10">
        <v>500.05064768864702</v>
      </c>
      <c r="O18" s="8" t="s">
        <v>18</v>
      </c>
      <c r="P18" s="8"/>
      <c r="Q18" s="8"/>
      <c r="S18" s="10">
        <v>7.8</v>
      </c>
      <c r="T18" s="12">
        <v>486.46183460220902</v>
      </c>
      <c r="U18" s="8" t="s">
        <v>18</v>
      </c>
      <c r="V18" s="8"/>
      <c r="W18" s="8"/>
      <c r="Y18" s="10">
        <v>9.4079999999999995</v>
      </c>
      <c r="Z18" s="10">
        <v>521.54568554738205</v>
      </c>
      <c r="AA18" s="8" t="s">
        <v>18</v>
      </c>
      <c r="AB18" s="8"/>
      <c r="AC18" s="8"/>
      <c r="AE18" s="8">
        <v>9.16</v>
      </c>
      <c r="AF18" s="10">
        <v>515.34796678276302</v>
      </c>
      <c r="AG18" s="8" t="s">
        <v>18</v>
      </c>
      <c r="AH18" s="8"/>
      <c r="AI18" s="8"/>
      <c r="AK18" s="10">
        <v>8.84</v>
      </c>
      <c r="AL18" s="12">
        <v>509.364763416301</v>
      </c>
      <c r="AM18" s="8" t="s">
        <v>18</v>
      </c>
      <c r="AN18" s="8"/>
      <c r="AO18" s="8"/>
      <c r="AQ18" s="13">
        <v>9.0350000000000001</v>
      </c>
      <c r="AR18" s="10">
        <v>516.14743649631805</v>
      </c>
      <c r="AS18" s="8" t="s">
        <v>18</v>
      </c>
      <c r="AT18" s="8"/>
      <c r="AU18" s="8"/>
      <c r="AW18" s="10">
        <v>8.3450000000000006</v>
      </c>
      <c r="AX18" s="12">
        <v>491.00367473593298</v>
      </c>
      <c r="AY18" s="8" t="s">
        <v>18</v>
      </c>
      <c r="AZ18" s="8"/>
      <c r="BA18" s="8"/>
      <c r="BC18" s="10">
        <v>8.8699999999999992</v>
      </c>
      <c r="BD18" s="12">
        <v>518.59180818149105</v>
      </c>
      <c r="BE18" s="8" t="s">
        <v>18</v>
      </c>
      <c r="BF18" s="8"/>
      <c r="BG18" s="8"/>
      <c r="BI18" s="10">
        <v>2.91</v>
      </c>
      <c r="BJ18" s="12">
        <v>441.35803621603202</v>
      </c>
      <c r="BK18" s="8" t="s">
        <v>18</v>
      </c>
      <c r="BL18" s="8" t="s">
        <v>103</v>
      </c>
      <c r="BM18" s="8">
        <v>-1.7999999999999999E-2</v>
      </c>
      <c r="BO18" s="10">
        <v>9.74</v>
      </c>
      <c r="BP18" s="10">
        <v>522.66352255450397</v>
      </c>
      <c r="BQ18" s="8" t="s">
        <v>18</v>
      </c>
      <c r="BR18" s="8"/>
      <c r="BS18" s="8"/>
      <c r="BU18" s="10">
        <v>8.6029999999999998</v>
      </c>
      <c r="BV18" s="10">
        <v>498.03097215692799</v>
      </c>
      <c r="BW18" s="8" t="s">
        <v>18</v>
      </c>
      <c r="BX18" s="8"/>
      <c r="BY18" s="8"/>
      <c r="CA18" s="10">
        <v>3.7</v>
      </c>
      <c r="CB18" s="10">
        <v>510.73334641231401</v>
      </c>
      <c r="CC18" s="8" t="s">
        <v>18</v>
      </c>
      <c r="CD18" s="8"/>
      <c r="CE18" s="8"/>
      <c r="CG18" s="10">
        <v>5.4</v>
      </c>
      <c r="CH18" s="10">
        <v>438.41328309795699</v>
      </c>
      <c r="CI18" s="8" t="s">
        <v>18</v>
      </c>
      <c r="CJ18" s="8"/>
      <c r="CK18" s="8"/>
      <c r="CM18" s="10">
        <v>3.0150000000000001</v>
      </c>
      <c r="CN18" s="10">
        <v>460.48830201254998</v>
      </c>
      <c r="CO18" s="8" t="s">
        <v>18</v>
      </c>
      <c r="CP18" s="8"/>
      <c r="CQ18" s="8"/>
    </row>
    <row r="19" spans="1:95" ht="15">
      <c r="A19" s="4">
        <v>9.82</v>
      </c>
      <c r="B19" s="4">
        <v>536.298</v>
      </c>
      <c r="C19" s="2" t="s">
        <v>18</v>
      </c>
      <c r="D19" s="2"/>
      <c r="E19" s="2"/>
      <c r="G19" s="4">
        <v>9.875</v>
      </c>
      <c r="H19" s="4">
        <v>672.47356663729101</v>
      </c>
      <c r="I19" s="2" t="s">
        <v>18</v>
      </c>
      <c r="J19" s="2"/>
      <c r="K19" s="2"/>
      <c r="M19" s="10">
        <v>7.2949999999999999</v>
      </c>
      <c r="N19" s="10">
        <v>527.45422244516999</v>
      </c>
      <c r="O19" s="8" t="s">
        <v>18</v>
      </c>
      <c r="P19" s="8"/>
      <c r="Q19" s="8"/>
      <c r="S19" s="10">
        <v>9.0830000000000002</v>
      </c>
      <c r="T19" s="12">
        <v>535.30838066253602</v>
      </c>
      <c r="U19" s="8" t="s">
        <v>18</v>
      </c>
      <c r="V19" s="8"/>
      <c r="W19" s="8"/>
      <c r="Y19" s="10">
        <v>10.535</v>
      </c>
      <c r="Z19" s="10">
        <v>540.64676080107699</v>
      </c>
      <c r="AA19" s="8" t="s">
        <v>18</v>
      </c>
      <c r="AB19" s="8"/>
      <c r="AC19" s="8"/>
      <c r="AE19" s="8">
        <v>10.085000000000001</v>
      </c>
      <c r="AF19" s="10">
        <v>521.99017756079695</v>
      </c>
      <c r="AG19" s="8" t="s">
        <v>18</v>
      </c>
      <c r="AH19" s="8"/>
      <c r="AI19" s="8"/>
      <c r="AK19" s="10">
        <v>9.6449999999999996</v>
      </c>
      <c r="AL19" s="12">
        <v>522.66352255450397</v>
      </c>
      <c r="AM19" s="8" t="s">
        <v>18</v>
      </c>
      <c r="AN19" s="8"/>
      <c r="AO19" s="8"/>
      <c r="AQ19" s="13">
        <v>9.9749999999999996</v>
      </c>
      <c r="AR19" s="10">
        <v>518.41835545010395</v>
      </c>
      <c r="AS19" s="8" t="s">
        <v>18</v>
      </c>
      <c r="AT19" s="8"/>
      <c r="AU19" s="8"/>
      <c r="AW19" s="10">
        <v>9.2100000000000009</v>
      </c>
      <c r="AX19" s="12">
        <v>517.17396648566205</v>
      </c>
      <c r="AY19" s="8" t="s">
        <v>18</v>
      </c>
      <c r="AZ19" s="8"/>
      <c r="BA19" s="8"/>
      <c r="BC19" s="10">
        <v>9.83</v>
      </c>
      <c r="BD19" s="12">
        <v>527.06042057328</v>
      </c>
      <c r="BE19" s="8" t="s">
        <v>18</v>
      </c>
      <c r="BF19" s="8"/>
      <c r="BG19" s="8"/>
      <c r="BI19" s="10">
        <v>3.7</v>
      </c>
      <c r="BJ19" s="12">
        <v>510.88736732498398</v>
      </c>
      <c r="BK19" s="8" t="s">
        <v>18</v>
      </c>
      <c r="BL19" s="8" t="s">
        <v>121</v>
      </c>
      <c r="BM19" s="8">
        <v>0.92900000000000005</v>
      </c>
      <c r="BO19" s="10">
        <v>10.63</v>
      </c>
      <c r="BP19" s="10">
        <v>538.23074786972597</v>
      </c>
      <c r="BQ19" s="8" t="s">
        <v>18</v>
      </c>
      <c r="BR19" s="8"/>
      <c r="BS19" s="8"/>
      <c r="BU19" s="10">
        <v>9.5500000000000007</v>
      </c>
      <c r="BV19" s="10">
        <v>520.67782667505696</v>
      </c>
      <c r="BW19" s="8" t="s">
        <v>18</v>
      </c>
      <c r="BX19" s="8"/>
      <c r="BY19" s="8"/>
      <c r="CA19" s="10">
        <v>4.0949999999999998</v>
      </c>
      <c r="CB19" s="10">
        <v>453.00564483389502</v>
      </c>
      <c r="CC19" s="8" t="s">
        <v>18</v>
      </c>
      <c r="CD19" s="8"/>
      <c r="CE19" s="8"/>
      <c r="CG19" s="10">
        <v>5.7149999999999999</v>
      </c>
      <c r="CH19" s="10">
        <v>437.81321016735501</v>
      </c>
      <c r="CI19" s="8" t="s">
        <v>18</v>
      </c>
      <c r="CJ19" s="8"/>
      <c r="CK19" s="8"/>
      <c r="CM19" s="10">
        <v>3.5350000000000001</v>
      </c>
      <c r="CN19" s="10">
        <v>425.73947277081999</v>
      </c>
      <c r="CO19" s="8" t="s">
        <v>18</v>
      </c>
      <c r="CP19" s="8"/>
      <c r="CQ19" s="8"/>
    </row>
    <row r="20" spans="1:95" ht="15">
      <c r="A20" s="4">
        <v>10.734999999999999</v>
      </c>
      <c r="B20" s="4">
        <v>530.12199999999996</v>
      </c>
      <c r="C20" s="2" t="s">
        <v>18</v>
      </c>
      <c r="D20" s="2"/>
      <c r="E20" s="2"/>
      <c r="G20" s="4">
        <v>10.855</v>
      </c>
      <c r="H20" s="4">
        <v>592.107880927417</v>
      </c>
      <c r="I20" s="2" t="s">
        <v>18</v>
      </c>
      <c r="J20" s="2"/>
      <c r="K20" s="2"/>
      <c r="M20" s="10">
        <v>8.1270000000000007</v>
      </c>
      <c r="N20" s="10">
        <v>546.12379714073404</v>
      </c>
      <c r="O20" s="8" t="s">
        <v>18</v>
      </c>
      <c r="P20" s="8"/>
      <c r="Q20" s="8"/>
      <c r="S20" s="10">
        <v>10.255000000000001</v>
      </c>
      <c r="T20" s="12">
        <v>546.066366847989</v>
      </c>
      <c r="U20" s="8" t="s">
        <v>18</v>
      </c>
      <c r="V20" s="8"/>
      <c r="W20" s="8"/>
      <c r="Y20" s="10">
        <v>11.44</v>
      </c>
      <c r="Z20" s="10">
        <v>547.88054082422798</v>
      </c>
      <c r="AA20" s="8" t="s">
        <v>18</v>
      </c>
      <c r="AB20" s="8"/>
      <c r="AC20" s="8"/>
      <c r="AE20" s="8">
        <v>11.015000000000001</v>
      </c>
      <c r="AF20" s="10">
        <v>540.68285541344403</v>
      </c>
      <c r="AG20" s="8" t="s">
        <v>18</v>
      </c>
      <c r="AH20" s="8"/>
      <c r="AI20" s="8"/>
      <c r="AK20" s="10">
        <v>10.31</v>
      </c>
      <c r="AL20" s="12">
        <v>523.57532168282205</v>
      </c>
      <c r="AM20" s="8" t="s">
        <v>18</v>
      </c>
      <c r="AN20" s="8"/>
      <c r="AO20" s="8"/>
      <c r="AQ20" s="13">
        <v>11.05</v>
      </c>
      <c r="AR20" s="10">
        <v>535.93118156740002</v>
      </c>
      <c r="AS20" s="8" t="s">
        <v>18</v>
      </c>
      <c r="AT20" s="8"/>
      <c r="AU20" s="8"/>
      <c r="AW20" s="10">
        <v>9.9550000000000001</v>
      </c>
      <c r="AX20" s="12">
        <v>530.92111151659503</v>
      </c>
      <c r="AY20" s="8" t="s">
        <v>18</v>
      </c>
      <c r="AZ20" s="8"/>
      <c r="BA20" s="8"/>
      <c r="BC20" s="10">
        <v>10.744999999999999</v>
      </c>
      <c r="BD20" s="12">
        <v>544.74127429438499</v>
      </c>
      <c r="BE20" s="8" t="s">
        <v>18</v>
      </c>
      <c r="BF20" s="8"/>
      <c r="BG20" s="8"/>
      <c r="BI20" s="10">
        <v>4.4249999999999998</v>
      </c>
      <c r="BJ20" s="12">
        <v>431.69544184346302</v>
      </c>
      <c r="BK20" s="8" t="s">
        <v>18</v>
      </c>
      <c r="BL20" s="8" t="s">
        <v>122</v>
      </c>
      <c r="BM20" s="8"/>
      <c r="BO20" s="10">
        <v>11.54</v>
      </c>
      <c r="BP20" s="10">
        <v>552.44279398882304</v>
      </c>
      <c r="BQ20" s="8" t="s">
        <v>18</v>
      </c>
      <c r="BR20" s="8"/>
      <c r="BS20" s="8"/>
      <c r="BU20" s="10">
        <v>10.39</v>
      </c>
      <c r="BV20" s="10">
        <v>529.684375842549</v>
      </c>
      <c r="BW20" s="8" t="s">
        <v>18</v>
      </c>
      <c r="BX20" s="8"/>
      <c r="BY20" s="8"/>
      <c r="CA20" s="10">
        <v>4.2850000000000001</v>
      </c>
      <c r="CB20" s="10">
        <v>476.67507614921101</v>
      </c>
      <c r="CC20" s="8" t="s">
        <v>18</v>
      </c>
      <c r="CD20" s="8"/>
      <c r="CE20" s="8"/>
      <c r="CG20" s="10">
        <v>6.0049999999999999</v>
      </c>
      <c r="CH20" s="10">
        <v>447.36384459967599</v>
      </c>
      <c r="CI20" s="8" t="s">
        <v>18</v>
      </c>
      <c r="CJ20" s="8"/>
      <c r="CK20" s="8"/>
      <c r="CM20" s="10">
        <v>4.2149999999999999</v>
      </c>
      <c r="CN20" s="10">
        <v>416.79351265540402</v>
      </c>
      <c r="CO20" s="8" t="s">
        <v>18</v>
      </c>
      <c r="CP20" s="8"/>
      <c r="CQ20" s="8"/>
    </row>
    <row r="21" spans="1:95" ht="15">
      <c r="A21" s="4">
        <v>11.696999999999999</v>
      </c>
      <c r="B21" s="4">
        <v>565.29600000000005</v>
      </c>
      <c r="C21" s="2" t="s">
        <v>18</v>
      </c>
      <c r="D21" s="2"/>
      <c r="E21" s="2"/>
      <c r="G21" s="4">
        <v>11.855</v>
      </c>
      <c r="H21" s="4">
        <v>599.72465297971905</v>
      </c>
      <c r="I21" s="2" t="s">
        <v>18</v>
      </c>
      <c r="J21" s="2"/>
      <c r="K21" s="2"/>
      <c r="M21" s="10">
        <v>8.98</v>
      </c>
      <c r="N21" s="10">
        <v>525.906613336747</v>
      </c>
      <c r="O21" s="8" t="s">
        <v>18</v>
      </c>
      <c r="P21" s="8"/>
      <c r="Q21" s="8"/>
      <c r="S21" s="10">
        <v>11.175000000000001</v>
      </c>
      <c r="T21" s="12">
        <v>566.49066732230403</v>
      </c>
      <c r="U21" s="8" t="s">
        <v>18</v>
      </c>
      <c r="V21" s="8"/>
      <c r="W21" s="8"/>
      <c r="Y21" s="8"/>
      <c r="Z21" s="8"/>
      <c r="AA21" s="8"/>
      <c r="AB21" s="8"/>
      <c r="AC21" s="8"/>
      <c r="AE21" s="8">
        <v>11.74</v>
      </c>
      <c r="AF21" s="10">
        <v>557.73889659436998</v>
      </c>
      <c r="AG21" s="8" t="s">
        <v>18</v>
      </c>
      <c r="AH21" s="8"/>
      <c r="AI21" s="8"/>
      <c r="AK21" s="10">
        <v>11.005000000000001</v>
      </c>
      <c r="AL21" s="12">
        <v>537.51048828908097</v>
      </c>
      <c r="AM21" s="8" t="s">
        <v>18</v>
      </c>
      <c r="AN21" s="8"/>
      <c r="AO21" s="8"/>
      <c r="AQ21" s="13">
        <v>12.13</v>
      </c>
      <c r="AR21" s="10">
        <v>541.15266620705802</v>
      </c>
      <c r="AS21" s="8" t="s">
        <v>18</v>
      </c>
      <c r="AT21" s="8"/>
      <c r="AU21" s="8"/>
      <c r="AW21" s="10">
        <v>10.545</v>
      </c>
      <c r="AX21" s="12">
        <v>545.13430551681995</v>
      </c>
      <c r="AY21" s="8" t="s">
        <v>18</v>
      </c>
      <c r="AZ21" s="8"/>
      <c r="BA21" s="8"/>
      <c r="BC21" s="10">
        <v>11.493</v>
      </c>
      <c r="BD21" s="12">
        <v>549.67621734031798</v>
      </c>
      <c r="BE21" s="8" t="s">
        <v>18</v>
      </c>
      <c r="BF21" s="8"/>
      <c r="BG21" s="8"/>
      <c r="BI21" s="10">
        <v>5.5780000000000003</v>
      </c>
      <c r="BJ21" s="12">
        <v>475.55149536643103</v>
      </c>
      <c r="BK21" s="8" t="s">
        <v>18</v>
      </c>
      <c r="BL21" s="8" t="s">
        <v>120</v>
      </c>
      <c r="BM21" s="8"/>
      <c r="BO21" s="8"/>
      <c r="BP21" s="8"/>
      <c r="BQ21" s="8"/>
      <c r="BR21" s="8"/>
      <c r="BS21" s="8"/>
      <c r="BU21" s="10">
        <v>11.268000000000001</v>
      </c>
      <c r="BV21" s="10">
        <v>534.94082621003895</v>
      </c>
      <c r="BW21" s="8" t="s">
        <v>18</v>
      </c>
      <c r="BX21" s="8"/>
      <c r="BY21" s="8"/>
      <c r="CA21" s="10">
        <v>4.9749999999999996</v>
      </c>
      <c r="CB21" s="10">
        <v>482.51197602021102</v>
      </c>
      <c r="CC21" s="8" t="s">
        <v>18</v>
      </c>
      <c r="CD21" s="8"/>
      <c r="CE21" s="8"/>
      <c r="CG21" s="10">
        <v>6.46</v>
      </c>
      <c r="CH21" s="10">
        <v>470.483847500141</v>
      </c>
      <c r="CI21" s="8" t="s">
        <v>18</v>
      </c>
      <c r="CJ21" s="8"/>
      <c r="CK21" s="8"/>
      <c r="CM21" s="10">
        <v>4.6550000000000002</v>
      </c>
      <c r="CN21" s="10">
        <v>422.42133949740901</v>
      </c>
      <c r="CO21" s="8" t="s">
        <v>18</v>
      </c>
      <c r="CP21" s="8"/>
      <c r="CQ21" s="8"/>
    </row>
    <row r="22" spans="1:95" ht="15">
      <c r="A22" s="4">
        <v>12.587999999999999</v>
      </c>
      <c r="B22" s="4">
        <v>555.05999999999995</v>
      </c>
      <c r="C22" s="2" t="s">
        <v>18</v>
      </c>
      <c r="D22" s="2"/>
      <c r="E22" s="2"/>
      <c r="G22" s="4">
        <v>12.75</v>
      </c>
      <c r="H22" s="4">
        <v>726.19735019784503</v>
      </c>
      <c r="I22" s="2" t="s">
        <v>18</v>
      </c>
      <c r="J22" s="2"/>
      <c r="K22" s="2"/>
      <c r="M22" s="10">
        <v>9.89</v>
      </c>
      <c r="N22" s="10">
        <v>547.57622777014899</v>
      </c>
      <c r="O22" s="8" t="s">
        <v>18</v>
      </c>
      <c r="P22" s="8"/>
      <c r="Q22" s="8"/>
      <c r="S22" s="10">
        <v>12.105</v>
      </c>
      <c r="T22" s="12">
        <v>584.84822310576499</v>
      </c>
      <c r="U22" s="8" t="s">
        <v>18</v>
      </c>
      <c r="V22" s="8"/>
      <c r="W22" s="8"/>
      <c r="Y22" s="8" t="s">
        <v>25</v>
      </c>
      <c r="Z22" s="8"/>
      <c r="AA22" s="8"/>
      <c r="AB22" s="8"/>
      <c r="AC22" s="8"/>
      <c r="AE22" s="8"/>
      <c r="AF22" s="8"/>
      <c r="AG22" s="8"/>
      <c r="AH22" s="8"/>
      <c r="AI22" s="8"/>
      <c r="AK22" s="10">
        <v>11.74</v>
      </c>
      <c r="AL22" s="12">
        <v>554.76671837356696</v>
      </c>
      <c r="AM22" s="8" t="s">
        <v>18</v>
      </c>
      <c r="AN22" s="8"/>
      <c r="AO22" s="8"/>
      <c r="AQ22" s="8"/>
      <c r="AR22" s="8"/>
      <c r="AS22" s="8"/>
      <c r="AT22" s="8"/>
      <c r="AU22" s="8"/>
      <c r="AW22" s="10">
        <v>11.307</v>
      </c>
      <c r="AX22" s="12">
        <v>542.73933997712697</v>
      </c>
      <c r="AY22" s="8" t="s">
        <v>18</v>
      </c>
      <c r="AZ22" s="8"/>
      <c r="BA22" s="8"/>
      <c r="BC22" s="10">
        <v>12.25</v>
      </c>
      <c r="BD22" s="12">
        <v>551.68304947842603</v>
      </c>
      <c r="BE22" s="8" t="s">
        <v>18</v>
      </c>
      <c r="BF22" s="8"/>
      <c r="BG22" s="8"/>
      <c r="BI22" s="10">
        <v>6.59</v>
      </c>
      <c r="BJ22" s="12">
        <v>512.41324451628202</v>
      </c>
      <c r="BK22" s="8" t="s">
        <v>18</v>
      </c>
      <c r="BL22" s="8"/>
      <c r="BM22" s="8"/>
      <c r="BO22" s="8" t="s">
        <v>25</v>
      </c>
      <c r="BP22" s="8"/>
      <c r="BQ22" s="8"/>
      <c r="BR22" s="8"/>
      <c r="BS22" s="8"/>
      <c r="BU22" s="10">
        <v>12.233000000000001</v>
      </c>
      <c r="BV22" s="10">
        <v>544.648012648384</v>
      </c>
      <c r="BW22" s="8" t="s">
        <v>18</v>
      </c>
      <c r="BX22" s="8"/>
      <c r="BY22" s="8"/>
      <c r="CA22" s="10">
        <v>5.9349999999999996</v>
      </c>
      <c r="CB22" s="10">
        <v>524.72297285233105</v>
      </c>
      <c r="CC22" s="8" t="s">
        <v>18</v>
      </c>
      <c r="CD22" s="8"/>
      <c r="CE22" s="8"/>
      <c r="CG22" s="10">
        <v>7.0549999999999997</v>
      </c>
      <c r="CH22" s="10">
        <v>464.47176929708598</v>
      </c>
      <c r="CI22" s="8" t="s">
        <v>18</v>
      </c>
      <c r="CJ22" s="8"/>
      <c r="CK22" s="8"/>
      <c r="CM22" s="10">
        <v>4.97</v>
      </c>
      <c r="CN22" s="10">
        <v>432.02153852747801</v>
      </c>
      <c r="CO22" s="8" t="s">
        <v>18</v>
      </c>
      <c r="CP22" s="8"/>
      <c r="CQ22" s="8"/>
    </row>
    <row r="23" spans="1:95" ht="15">
      <c r="A23" s="4">
        <v>13.41</v>
      </c>
      <c r="B23" s="4">
        <v>566.63300000000004</v>
      </c>
      <c r="C23" s="2" t="s">
        <v>18</v>
      </c>
      <c r="D23" s="2"/>
      <c r="E23" s="2"/>
      <c r="G23" s="4">
        <v>13.574999999999999</v>
      </c>
      <c r="H23" s="4">
        <v>665.06628419486299</v>
      </c>
      <c r="I23" s="2" t="s">
        <v>18</v>
      </c>
      <c r="J23" s="2"/>
      <c r="K23" s="2"/>
      <c r="M23" s="10">
        <v>10.775</v>
      </c>
      <c r="N23" s="10">
        <v>549.33533557469798</v>
      </c>
      <c r="O23" s="8" t="s">
        <v>18</v>
      </c>
      <c r="P23" s="8"/>
      <c r="Q23" s="8"/>
      <c r="S23" s="8"/>
      <c r="T23" s="8"/>
      <c r="U23" s="8"/>
      <c r="V23" s="8"/>
      <c r="W23" s="8"/>
      <c r="Y23" s="8" t="s">
        <v>26</v>
      </c>
      <c r="Z23" s="8"/>
      <c r="AA23" s="8"/>
      <c r="AB23" s="8"/>
      <c r="AC23" s="8"/>
      <c r="AE23" s="8" t="s">
        <v>25</v>
      </c>
      <c r="AF23" s="8"/>
      <c r="AG23" s="8"/>
      <c r="AH23" s="8"/>
      <c r="AI23" s="8"/>
      <c r="AK23" s="8"/>
      <c r="AL23" s="8"/>
      <c r="AM23" s="8"/>
      <c r="AN23" s="8"/>
      <c r="AO23" s="8"/>
      <c r="AQ23" s="8" t="s">
        <v>25</v>
      </c>
      <c r="AR23" s="8"/>
      <c r="AS23" s="8"/>
      <c r="AT23" s="8"/>
      <c r="AU23" s="8"/>
      <c r="AW23" s="8"/>
      <c r="AX23" s="8"/>
      <c r="AY23" s="8"/>
      <c r="AZ23" s="8"/>
      <c r="BA23" s="8"/>
      <c r="BC23" s="10">
        <v>12.824999999999999</v>
      </c>
      <c r="BD23" s="12">
        <v>573.837742076258</v>
      </c>
      <c r="BE23" s="8" t="s">
        <v>18</v>
      </c>
      <c r="BF23" s="8"/>
      <c r="BG23" s="8"/>
      <c r="BI23" s="10">
        <v>7.4749999999999996</v>
      </c>
      <c r="BJ23" s="12">
        <v>538.488302981527</v>
      </c>
      <c r="BK23" s="8" t="s">
        <v>18</v>
      </c>
      <c r="BL23" s="8" t="s">
        <v>93</v>
      </c>
      <c r="BM23" s="8">
        <v>348.017</v>
      </c>
      <c r="BO23" s="8" t="s">
        <v>26</v>
      </c>
      <c r="BP23" s="8"/>
      <c r="BQ23" s="8"/>
      <c r="BR23" s="8"/>
      <c r="BS23" s="8"/>
      <c r="BU23" s="8"/>
      <c r="BV23" s="8"/>
      <c r="BW23" s="8"/>
      <c r="BX23" s="8"/>
      <c r="BY23" s="8"/>
      <c r="CA23" s="10">
        <v>6.5549999999999997</v>
      </c>
      <c r="CB23" s="10">
        <v>566.76275976059503</v>
      </c>
      <c r="CC23" s="8" t="s">
        <v>18</v>
      </c>
      <c r="CD23" s="8"/>
      <c r="CE23" s="8"/>
      <c r="CG23" s="10">
        <v>7.43</v>
      </c>
      <c r="CH23" s="10">
        <v>423.92580805913298</v>
      </c>
      <c r="CI23" s="8" t="s">
        <v>18</v>
      </c>
      <c r="CJ23" s="8"/>
      <c r="CK23" s="8"/>
      <c r="CM23" s="10">
        <v>5.29</v>
      </c>
      <c r="CN23" s="10">
        <v>405.83841498035798</v>
      </c>
      <c r="CO23" s="8" t="s">
        <v>18</v>
      </c>
      <c r="CP23" s="8"/>
      <c r="CQ23" s="8"/>
    </row>
    <row r="24" spans="1:95" ht="15">
      <c r="A24" s="4">
        <v>14.324999999999999</v>
      </c>
      <c r="B24" s="4">
        <v>580.98199999999997</v>
      </c>
      <c r="C24" s="2" t="s">
        <v>18</v>
      </c>
      <c r="D24" s="2"/>
      <c r="E24" s="2"/>
      <c r="G24" s="4">
        <v>14.5</v>
      </c>
      <c r="H24" s="4">
        <v>777.585638848283</v>
      </c>
      <c r="I24" s="2" t="s">
        <v>18</v>
      </c>
      <c r="J24" s="2"/>
      <c r="K24" s="2"/>
      <c r="M24" s="10">
        <v>11.625</v>
      </c>
      <c r="N24" s="10">
        <v>547.59027298803005</v>
      </c>
      <c r="O24" s="8" t="s">
        <v>18</v>
      </c>
      <c r="P24" s="8"/>
      <c r="Q24" s="8"/>
      <c r="S24" s="8" t="s">
        <v>25</v>
      </c>
      <c r="T24" s="8"/>
      <c r="U24" s="8"/>
      <c r="V24" s="8"/>
      <c r="W24" s="8"/>
      <c r="Y24" s="8" t="s">
        <v>27</v>
      </c>
      <c r="Z24" s="8"/>
      <c r="AA24" s="8"/>
      <c r="AB24" s="8"/>
      <c r="AC24" s="8"/>
      <c r="AE24" s="8" t="s">
        <v>26</v>
      </c>
      <c r="AF24" s="8"/>
      <c r="AG24" s="8"/>
      <c r="AH24" s="8"/>
      <c r="AI24" s="8"/>
      <c r="AK24" s="8" t="s">
        <v>25</v>
      </c>
      <c r="AL24" s="8"/>
      <c r="AM24" s="8"/>
      <c r="AN24" s="8"/>
      <c r="AO24" s="8"/>
      <c r="AQ24" s="8" t="s">
        <v>26</v>
      </c>
      <c r="AR24" s="8"/>
      <c r="AS24" s="8"/>
      <c r="AT24" s="8"/>
      <c r="AU24" s="8"/>
      <c r="AW24" s="8" t="s">
        <v>25</v>
      </c>
      <c r="AX24" s="8"/>
      <c r="AY24" s="8"/>
      <c r="AZ24" s="8"/>
      <c r="BA24" s="8"/>
      <c r="BC24" s="10">
        <v>13.37</v>
      </c>
      <c r="BD24" s="12">
        <v>564.01985319487596</v>
      </c>
      <c r="BE24" s="8" t="s">
        <v>18</v>
      </c>
      <c r="BF24" s="8"/>
      <c r="BG24" s="8"/>
      <c r="BI24" s="10">
        <v>8.3249999999999993</v>
      </c>
      <c r="BJ24" s="12">
        <v>511.01652562704902</v>
      </c>
      <c r="BK24" s="8" t="s">
        <v>18</v>
      </c>
      <c r="BL24" s="8" t="s">
        <v>94</v>
      </c>
      <c r="BM24" s="8">
        <v>28.02</v>
      </c>
      <c r="BO24" s="8" t="s">
        <v>27</v>
      </c>
      <c r="BP24" s="8"/>
      <c r="BQ24" s="8"/>
      <c r="BR24" s="8"/>
      <c r="BS24" s="8"/>
      <c r="BU24" s="8" t="s">
        <v>25</v>
      </c>
      <c r="BV24" s="8"/>
      <c r="BW24" s="8"/>
      <c r="BX24" s="8"/>
      <c r="BY24" s="8"/>
      <c r="CA24" s="10">
        <v>6.8650000000000002</v>
      </c>
      <c r="CB24" s="10">
        <v>425.33169321082897</v>
      </c>
      <c r="CC24" s="8" t="s">
        <v>18</v>
      </c>
      <c r="CD24" s="8"/>
      <c r="CE24" s="8"/>
      <c r="CG24" s="10">
        <v>7.71</v>
      </c>
      <c r="CH24" s="10">
        <v>459.58728507777698</v>
      </c>
      <c r="CI24" s="8" t="s">
        <v>18</v>
      </c>
      <c r="CJ24" s="8"/>
      <c r="CK24" s="8"/>
      <c r="CM24" s="10">
        <v>5.5830000000000002</v>
      </c>
      <c r="CN24" s="10">
        <v>453.25038046049298</v>
      </c>
      <c r="CO24" s="8" t="s">
        <v>18</v>
      </c>
      <c r="CP24" s="8"/>
      <c r="CQ24" s="8"/>
    </row>
    <row r="25" spans="1:95" ht="15">
      <c r="A25" s="4"/>
      <c r="B25" s="2"/>
      <c r="C25" s="2"/>
      <c r="D25" s="2"/>
      <c r="E25" s="2"/>
      <c r="G25" s="2" t="s">
        <v>42</v>
      </c>
      <c r="H25" s="2"/>
      <c r="I25" s="2"/>
      <c r="J25" s="2"/>
      <c r="K25" s="2"/>
      <c r="M25" s="10">
        <v>12.53</v>
      </c>
      <c r="N25" s="10">
        <v>555.49319675989102</v>
      </c>
      <c r="O25" s="8" t="s">
        <v>18</v>
      </c>
      <c r="P25" s="8"/>
      <c r="Q25" s="8"/>
      <c r="S25" s="8" t="s">
        <v>26</v>
      </c>
      <c r="T25" s="8"/>
      <c r="U25" s="8"/>
      <c r="V25" s="8"/>
      <c r="W25" s="8"/>
      <c r="Y25" s="8" t="s">
        <v>28</v>
      </c>
      <c r="Z25" s="8"/>
      <c r="AA25" s="8"/>
      <c r="AB25" s="8"/>
      <c r="AC25" s="8"/>
      <c r="AE25" s="8" t="s">
        <v>27</v>
      </c>
      <c r="AF25" s="8"/>
      <c r="AG25" s="8"/>
      <c r="AH25" s="8"/>
      <c r="AI25" s="8"/>
      <c r="AK25" s="8" t="s">
        <v>26</v>
      </c>
      <c r="AL25" s="8"/>
      <c r="AM25" s="8"/>
      <c r="AN25" s="8"/>
      <c r="AO25" s="8"/>
      <c r="AQ25" s="8" t="s">
        <v>27</v>
      </c>
      <c r="AR25" s="8"/>
      <c r="AS25" s="8"/>
      <c r="AT25" s="8"/>
      <c r="AU25" s="8"/>
      <c r="AW25" s="8" t="s">
        <v>26</v>
      </c>
      <c r="AX25" s="8"/>
      <c r="AY25" s="8"/>
      <c r="AZ25" s="8"/>
      <c r="BA25" s="8"/>
      <c r="BC25" s="10">
        <v>14.035</v>
      </c>
      <c r="BD25" s="12">
        <v>569.85925854636605</v>
      </c>
      <c r="BE25" s="8" t="s">
        <v>18</v>
      </c>
      <c r="BF25" s="8"/>
      <c r="BG25" s="8"/>
      <c r="BI25" s="10">
        <v>8.8949999999999996</v>
      </c>
      <c r="BJ25" s="12">
        <v>493.01991978275601</v>
      </c>
      <c r="BK25" s="8" t="s">
        <v>18</v>
      </c>
      <c r="BL25" s="8" t="s">
        <v>95</v>
      </c>
      <c r="BM25" s="8">
        <v>-0.81100000000000005</v>
      </c>
      <c r="BO25" s="8" t="s">
        <v>28</v>
      </c>
      <c r="BP25" s="8"/>
      <c r="BQ25" s="8"/>
      <c r="BR25" s="8"/>
      <c r="BS25" s="8"/>
      <c r="BU25" s="8" t="s">
        <v>26</v>
      </c>
      <c r="BV25" s="8"/>
      <c r="BW25" s="8"/>
      <c r="BX25" s="8"/>
      <c r="BY25" s="8"/>
      <c r="CA25" s="10">
        <v>7.15</v>
      </c>
      <c r="CB25" s="10">
        <v>470.04258174915202</v>
      </c>
      <c r="CC25" s="8" t="s">
        <v>18</v>
      </c>
      <c r="CD25" s="8"/>
      <c r="CE25" s="8"/>
      <c r="CG25" s="10">
        <v>7.93</v>
      </c>
      <c r="CH25" s="10">
        <v>519.54314331537296</v>
      </c>
      <c r="CI25" s="8" t="s">
        <v>18</v>
      </c>
      <c r="CJ25" s="8"/>
      <c r="CK25" s="8"/>
      <c r="CM25" s="10">
        <v>6.18</v>
      </c>
      <c r="CN25" s="10">
        <v>472.96982339514602</v>
      </c>
      <c r="CO25" s="8" t="s">
        <v>18</v>
      </c>
      <c r="CP25" s="8"/>
      <c r="CQ25" s="8"/>
    </row>
    <row r="26" spans="1:95" ht="15">
      <c r="A26" s="2" t="s">
        <v>25</v>
      </c>
      <c r="B26" s="2"/>
      <c r="C26" s="2"/>
      <c r="D26" s="2"/>
      <c r="E26" s="2"/>
      <c r="G26" s="2" t="s">
        <v>26</v>
      </c>
      <c r="H26" s="2"/>
      <c r="I26" s="2"/>
      <c r="J26" s="2"/>
      <c r="K26" s="2"/>
      <c r="M26" s="10">
        <v>13.32</v>
      </c>
      <c r="N26" s="10">
        <v>568.40431981383404</v>
      </c>
      <c r="O26" s="8" t="s">
        <v>18</v>
      </c>
      <c r="P26" s="8"/>
      <c r="Q26" s="8"/>
      <c r="S26" s="8" t="s">
        <v>27</v>
      </c>
      <c r="T26" s="8"/>
      <c r="U26" s="8"/>
      <c r="V26" s="8"/>
      <c r="W26" s="8"/>
      <c r="Y26" s="10" t="s">
        <v>29</v>
      </c>
      <c r="Z26" s="8"/>
      <c r="AA26" s="8"/>
      <c r="AB26" s="8"/>
      <c r="AC26" s="8"/>
      <c r="AE26" s="8" t="s">
        <v>28</v>
      </c>
      <c r="AF26" s="8"/>
      <c r="AG26" s="8"/>
      <c r="AH26" s="8"/>
      <c r="AI26" s="8"/>
      <c r="AK26" s="8" t="s">
        <v>27</v>
      </c>
      <c r="AL26" s="8"/>
      <c r="AM26" s="8"/>
      <c r="AN26" s="8"/>
      <c r="AO26" s="8"/>
      <c r="AQ26" s="8" t="s">
        <v>28</v>
      </c>
      <c r="AR26" s="8"/>
      <c r="AS26" s="8"/>
      <c r="AT26" s="8"/>
      <c r="AU26" s="8"/>
      <c r="AW26" s="8" t="s">
        <v>27</v>
      </c>
      <c r="AX26" s="8"/>
      <c r="AY26" s="8"/>
      <c r="AZ26" s="8"/>
      <c r="BA26" s="8"/>
      <c r="BC26" s="10">
        <v>14.89</v>
      </c>
      <c r="BD26" s="12">
        <v>571.35018741179204</v>
      </c>
      <c r="BE26" s="8" t="s">
        <v>18</v>
      </c>
      <c r="BF26" s="8"/>
      <c r="BG26" s="8"/>
      <c r="BI26" s="10">
        <v>9.4350000000000005</v>
      </c>
      <c r="BJ26" s="12">
        <v>525.62788283167902</v>
      </c>
      <c r="BK26" s="8" t="s">
        <v>18</v>
      </c>
      <c r="BL26" s="8" t="s">
        <v>123</v>
      </c>
      <c r="BM26" s="8">
        <v>0.90500000000000003</v>
      </c>
      <c r="BO26" s="10" t="s">
        <v>29</v>
      </c>
      <c r="BP26" s="8"/>
      <c r="BQ26" s="8"/>
      <c r="BR26" s="8"/>
      <c r="BS26" s="8"/>
      <c r="BU26" s="8" t="s">
        <v>27</v>
      </c>
      <c r="BV26" s="8"/>
      <c r="BW26" s="8"/>
      <c r="BX26" s="8"/>
      <c r="BY26" s="8"/>
      <c r="CA26" s="10">
        <v>7.63</v>
      </c>
      <c r="CB26" s="10">
        <v>505.50143673928102</v>
      </c>
      <c r="CC26" s="8" t="s">
        <v>18</v>
      </c>
      <c r="CD26" s="8"/>
      <c r="CE26" s="8"/>
      <c r="CG26" s="10">
        <v>8.1750000000000007</v>
      </c>
      <c r="CH26" s="10">
        <v>504.17763948631699</v>
      </c>
      <c r="CI26" s="8" t="s">
        <v>18</v>
      </c>
      <c r="CJ26" s="8"/>
      <c r="CK26" s="8"/>
      <c r="CM26" s="10">
        <v>7.27</v>
      </c>
      <c r="CN26" s="10">
        <v>476.411449638992</v>
      </c>
      <c r="CO26" s="8" t="s">
        <v>18</v>
      </c>
      <c r="CP26" s="8"/>
      <c r="CQ26" s="8"/>
    </row>
    <row r="27" spans="1:95" ht="15">
      <c r="A27" s="2" t="s">
        <v>26</v>
      </c>
      <c r="B27" s="2"/>
      <c r="C27" s="2"/>
      <c r="D27" s="2"/>
      <c r="E27" s="2"/>
      <c r="G27" s="2" t="s">
        <v>27</v>
      </c>
      <c r="H27" s="2"/>
      <c r="I27" s="2"/>
      <c r="J27" s="2"/>
      <c r="K27" s="2"/>
      <c r="M27" s="10">
        <v>13.96</v>
      </c>
      <c r="N27" s="10">
        <v>573.38168664900104</v>
      </c>
      <c r="O27" s="8" t="s">
        <v>18</v>
      </c>
      <c r="P27" s="8"/>
      <c r="Q27" s="8"/>
      <c r="S27" s="8" t="s">
        <v>28</v>
      </c>
      <c r="T27" s="8"/>
      <c r="U27" s="8"/>
      <c r="V27" s="8"/>
      <c r="W27" s="8"/>
      <c r="Y27" s="10" t="s">
        <v>30</v>
      </c>
      <c r="Z27" s="8"/>
      <c r="AA27" s="8"/>
      <c r="AB27" s="8"/>
      <c r="AC27" s="8"/>
      <c r="AE27" s="10" t="s">
        <v>29</v>
      </c>
      <c r="AF27" s="8"/>
      <c r="AG27" s="8"/>
      <c r="AH27" s="8"/>
      <c r="AI27" s="8"/>
      <c r="AK27" s="8" t="s">
        <v>28</v>
      </c>
      <c r="AL27" s="8"/>
      <c r="AM27" s="8"/>
      <c r="AN27" s="8"/>
      <c r="AO27" s="8"/>
      <c r="AQ27" s="10" t="s">
        <v>29</v>
      </c>
      <c r="AR27" s="8"/>
      <c r="AS27" s="8"/>
      <c r="AT27" s="8"/>
      <c r="AU27" s="8"/>
      <c r="AW27" s="8" t="s">
        <v>28</v>
      </c>
      <c r="AX27" s="8"/>
      <c r="AY27" s="8"/>
      <c r="AZ27" s="8"/>
      <c r="BA27" s="8"/>
      <c r="BC27" s="10">
        <v>15.815</v>
      </c>
      <c r="BD27" s="12">
        <v>587.43139419750003</v>
      </c>
      <c r="BE27" s="8" t="s">
        <v>18</v>
      </c>
      <c r="BF27" s="8"/>
      <c r="BG27" s="8"/>
      <c r="BI27" s="10">
        <v>10.452</v>
      </c>
      <c r="BJ27" s="12">
        <v>536.65469667328102</v>
      </c>
      <c r="BK27" s="8" t="s">
        <v>18</v>
      </c>
      <c r="BL27" s="8"/>
      <c r="BM27" s="8"/>
      <c r="BO27" s="10" t="s">
        <v>30</v>
      </c>
      <c r="BP27" s="8"/>
      <c r="BQ27" s="8"/>
      <c r="BR27" s="8"/>
      <c r="BS27" s="8"/>
      <c r="BU27" s="8" t="s">
        <v>28</v>
      </c>
      <c r="BV27" s="8"/>
      <c r="BW27" s="8"/>
      <c r="BX27" s="8"/>
      <c r="BY27" s="8"/>
      <c r="CA27" s="10">
        <v>8.0649999999999995</v>
      </c>
      <c r="CB27" s="10">
        <v>540.98460637283199</v>
      </c>
      <c r="CC27" s="8" t="s">
        <v>18</v>
      </c>
      <c r="CD27" s="8"/>
      <c r="CE27" s="8"/>
      <c r="CG27" s="10">
        <v>8.7200000000000006</v>
      </c>
      <c r="CH27" s="10">
        <v>488.42146616719401</v>
      </c>
      <c r="CI27" s="8" t="s">
        <v>18</v>
      </c>
      <c r="CJ27" s="8"/>
      <c r="CK27" s="8"/>
      <c r="CM27" s="10">
        <v>8.3230000000000004</v>
      </c>
      <c r="CN27" s="10">
        <v>489.16002870082502</v>
      </c>
      <c r="CO27" s="8" t="s">
        <v>18</v>
      </c>
      <c r="CP27" s="8"/>
      <c r="CQ27" s="8"/>
    </row>
    <row r="28" spans="1:95" ht="15">
      <c r="A28" s="2" t="s">
        <v>27</v>
      </c>
      <c r="B28" s="2"/>
      <c r="C28" s="2"/>
      <c r="D28" s="2"/>
      <c r="E28" s="2"/>
      <c r="G28" s="2" t="s">
        <v>28</v>
      </c>
      <c r="H28" s="2"/>
      <c r="I28" s="2"/>
      <c r="J28" s="2"/>
      <c r="K28" s="2"/>
      <c r="M28" s="10">
        <v>14.49</v>
      </c>
      <c r="N28" s="10">
        <v>589.06671489943403</v>
      </c>
      <c r="O28" s="8" t="s">
        <v>18</v>
      </c>
      <c r="P28" s="8"/>
      <c r="Q28" s="8"/>
      <c r="S28" s="10" t="s">
        <v>29</v>
      </c>
      <c r="T28" s="8"/>
      <c r="U28" s="8"/>
      <c r="V28" s="8"/>
      <c r="W28" s="8"/>
      <c r="Y28" s="10" t="s">
        <v>31</v>
      </c>
      <c r="Z28" s="8"/>
      <c r="AA28" s="8"/>
      <c r="AB28" s="8"/>
      <c r="AC28" s="8"/>
      <c r="AE28" s="10" t="s">
        <v>30</v>
      </c>
      <c r="AF28" s="8"/>
      <c r="AG28" s="8"/>
      <c r="AH28" s="8"/>
      <c r="AI28" s="8"/>
      <c r="AK28" s="10" t="s">
        <v>29</v>
      </c>
      <c r="AL28" s="8"/>
      <c r="AM28" s="8"/>
      <c r="AN28" s="8"/>
      <c r="AO28" s="8"/>
      <c r="AQ28" s="10" t="s">
        <v>30</v>
      </c>
      <c r="AR28" s="8"/>
      <c r="AS28" s="8"/>
      <c r="AT28" s="8"/>
      <c r="AU28" s="8"/>
      <c r="AW28" s="10" t="s">
        <v>29</v>
      </c>
      <c r="AX28" s="8"/>
      <c r="AY28" s="8"/>
      <c r="AZ28" s="8"/>
      <c r="BA28" s="8"/>
      <c r="BC28" s="10">
        <v>16.55</v>
      </c>
      <c r="BD28" s="12">
        <v>596.39944066180396</v>
      </c>
      <c r="BE28" s="8" t="s">
        <v>18</v>
      </c>
      <c r="BF28" s="8"/>
      <c r="BG28" s="8"/>
      <c r="BI28" s="10">
        <v>11.597</v>
      </c>
      <c r="BJ28" s="12">
        <v>565.27666368036705</v>
      </c>
      <c r="BK28" s="8" t="s">
        <v>18</v>
      </c>
      <c r="BL28" s="8"/>
      <c r="BM28" s="8"/>
      <c r="BO28" s="10" t="s">
        <v>31</v>
      </c>
      <c r="BP28" s="8"/>
      <c r="BQ28" s="8"/>
      <c r="BR28" s="8"/>
      <c r="BS28" s="8"/>
      <c r="BU28" s="10" t="s">
        <v>29</v>
      </c>
      <c r="BV28" s="8"/>
      <c r="BW28" s="8"/>
      <c r="BX28" s="8"/>
      <c r="BY28" s="8"/>
      <c r="CA28" s="10">
        <v>8.86</v>
      </c>
      <c r="CB28" s="10">
        <v>532.88024812778895</v>
      </c>
      <c r="CC28" s="8" t="s">
        <v>18</v>
      </c>
      <c r="CD28" s="8"/>
      <c r="CE28" s="8"/>
      <c r="CG28" s="10">
        <v>9.57</v>
      </c>
      <c r="CH28" s="10">
        <v>507.75873235907898</v>
      </c>
      <c r="CI28" s="8" t="s">
        <v>18</v>
      </c>
      <c r="CJ28" s="8"/>
      <c r="CK28" s="8"/>
      <c r="CM28" s="10">
        <v>9.3149999999999995</v>
      </c>
      <c r="CN28" s="10">
        <v>508.51037386272998</v>
      </c>
      <c r="CO28" s="8" t="s">
        <v>18</v>
      </c>
      <c r="CP28" s="8"/>
      <c r="CQ28" s="8"/>
    </row>
    <row r="29" spans="1:95" ht="15">
      <c r="A29" s="2" t="s">
        <v>28</v>
      </c>
      <c r="B29" s="2"/>
      <c r="C29" s="2"/>
      <c r="D29" s="2"/>
      <c r="E29" s="2"/>
      <c r="G29" s="4" t="s">
        <v>43</v>
      </c>
      <c r="H29" s="2"/>
      <c r="I29" s="2"/>
      <c r="J29" s="2"/>
      <c r="K29" s="2"/>
      <c r="M29" s="10">
        <v>15.065</v>
      </c>
      <c r="N29" s="10">
        <v>577.86050125751694</v>
      </c>
      <c r="O29" s="8" t="s">
        <v>18</v>
      </c>
      <c r="P29" s="8"/>
      <c r="Q29" s="8"/>
      <c r="S29" s="10" t="s">
        <v>30</v>
      </c>
      <c r="T29" s="8"/>
      <c r="U29" s="8"/>
      <c r="V29" s="8"/>
      <c r="W29" s="8"/>
      <c r="Y29" s="10" t="s">
        <v>32</v>
      </c>
      <c r="Z29" s="8"/>
      <c r="AA29" s="8"/>
      <c r="AB29" s="8"/>
      <c r="AC29" s="8"/>
      <c r="AE29" s="10" t="s">
        <v>31</v>
      </c>
      <c r="AF29" s="8"/>
      <c r="AG29" s="8"/>
      <c r="AH29" s="8"/>
      <c r="AI29" s="8"/>
      <c r="AK29" s="10" t="s">
        <v>30</v>
      </c>
      <c r="AL29" s="8"/>
      <c r="AM29" s="8"/>
      <c r="AN29" s="8"/>
      <c r="AO29" s="8"/>
      <c r="AQ29" s="10" t="s">
        <v>31</v>
      </c>
      <c r="AR29" s="8"/>
      <c r="AS29" s="8"/>
      <c r="AT29" s="8"/>
      <c r="AU29" s="8"/>
      <c r="AW29" s="10" t="s">
        <v>30</v>
      </c>
      <c r="AX29" s="8"/>
      <c r="AY29" s="8"/>
      <c r="AZ29" s="8"/>
      <c r="BA29" s="8"/>
      <c r="BC29" s="10">
        <v>17.268000000000001</v>
      </c>
      <c r="BD29" s="12">
        <v>590.40088261470805</v>
      </c>
      <c r="BE29" s="8" t="s">
        <v>18</v>
      </c>
      <c r="BF29" s="8"/>
      <c r="BG29" s="8"/>
      <c r="BI29" s="10">
        <v>12.664999999999999</v>
      </c>
      <c r="BJ29" s="12">
        <v>562.477250253791</v>
      </c>
      <c r="BK29" s="8" t="s">
        <v>18</v>
      </c>
      <c r="BL29" s="8"/>
      <c r="BM29" s="8"/>
      <c r="BO29" s="10" t="s">
        <v>32</v>
      </c>
      <c r="BP29" s="8"/>
      <c r="BQ29" s="8"/>
      <c r="BR29" s="8"/>
      <c r="BS29" s="8"/>
      <c r="BU29" s="10" t="s">
        <v>30</v>
      </c>
      <c r="BV29" s="8"/>
      <c r="BW29" s="8"/>
      <c r="BX29" s="8"/>
      <c r="BY29" s="8"/>
      <c r="CA29" s="10">
        <v>9.9350000000000005</v>
      </c>
      <c r="CB29" s="10">
        <v>534.23635764468895</v>
      </c>
      <c r="CC29" s="8" t="s">
        <v>18</v>
      </c>
      <c r="CD29" s="8"/>
      <c r="CE29" s="8"/>
      <c r="CG29" s="10">
        <v>10.494999999999999</v>
      </c>
      <c r="CH29" s="10">
        <v>524.36087170106396</v>
      </c>
      <c r="CI29" s="8" t="s">
        <v>18</v>
      </c>
      <c r="CJ29" s="8"/>
      <c r="CK29" s="8"/>
      <c r="CM29" s="10">
        <v>10.3</v>
      </c>
      <c r="CN29" s="10">
        <v>512.77008484925796</v>
      </c>
      <c r="CO29" s="8" t="s">
        <v>18</v>
      </c>
      <c r="CP29" s="8"/>
      <c r="CQ29" s="8"/>
    </row>
    <row r="30" spans="1:95" ht="15">
      <c r="A30" s="4" t="s">
        <v>29</v>
      </c>
      <c r="B30" s="2"/>
      <c r="C30" s="2"/>
      <c r="D30" s="2"/>
      <c r="E30" s="2"/>
      <c r="G30" s="4" t="s">
        <v>44</v>
      </c>
      <c r="H30" s="2"/>
      <c r="I30" s="2"/>
      <c r="J30" s="2"/>
      <c r="K30" s="2"/>
      <c r="M30" s="10">
        <v>15.91</v>
      </c>
      <c r="N30" s="10">
        <v>591.62390373930702</v>
      </c>
      <c r="O30" s="8" t="s">
        <v>18</v>
      </c>
      <c r="P30" s="8"/>
      <c r="Q30" s="8"/>
      <c r="S30" s="10" t="s">
        <v>31</v>
      </c>
      <c r="T30" s="8"/>
      <c r="U30" s="8"/>
      <c r="V30" s="8"/>
      <c r="W30" s="8"/>
      <c r="Y30" s="8"/>
      <c r="Z30" s="8"/>
      <c r="AA30" s="8"/>
      <c r="AB30" s="8"/>
      <c r="AC30" s="8"/>
      <c r="AE30" s="10" t="s">
        <v>32</v>
      </c>
      <c r="AF30" s="8"/>
      <c r="AG30" s="8"/>
      <c r="AH30" s="8"/>
      <c r="AI30" s="8"/>
      <c r="AK30" s="10" t="s">
        <v>31</v>
      </c>
      <c r="AL30" s="8"/>
      <c r="AM30" s="8"/>
      <c r="AN30" s="8"/>
      <c r="AO30" s="8"/>
      <c r="AQ30" s="10" t="s">
        <v>32</v>
      </c>
      <c r="AR30" s="8"/>
      <c r="AS30" s="8"/>
      <c r="AT30" s="8"/>
      <c r="AU30" s="8"/>
      <c r="AW30" s="10" t="s">
        <v>31</v>
      </c>
      <c r="AX30" s="8"/>
      <c r="AY30" s="8"/>
      <c r="AZ30" s="8"/>
      <c r="BA30" s="8"/>
      <c r="BC30" s="8"/>
      <c r="BD30" s="8"/>
      <c r="BE30" s="8"/>
      <c r="BF30" s="8"/>
      <c r="BG30" s="8"/>
      <c r="BI30" s="10">
        <v>13.76</v>
      </c>
      <c r="BJ30" s="12">
        <v>578.76007004717599</v>
      </c>
      <c r="BK30" s="8" t="s">
        <v>18</v>
      </c>
      <c r="BL30" s="8"/>
      <c r="BM30" s="8"/>
      <c r="BO30" s="8"/>
      <c r="BP30" s="8"/>
      <c r="BQ30" s="8"/>
      <c r="BR30" s="8"/>
      <c r="BS30" s="8"/>
      <c r="BU30" s="10" t="s">
        <v>31</v>
      </c>
      <c r="BV30" s="8"/>
      <c r="BW30" s="8"/>
      <c r="BX30" s="8"/>
      <c r="BY30" s="8"/>
      <c r="CA30" s="10">
        <v>10.91</v>
      </c>
      <c r="CB30" s="10">
        <v>541.62582716153304</v>
      </c>
      <c r="CC30" s="8" t="s">
        <v>18</v>
      </c>
      <c r="CD30" s="8"/>
      <c r="CE30" s="8"/>
      <c r="CG30" s="10">
        <v>11.4</v>
      </c>
      <c r="CH30" s="10">
        <v>534.34760926102899</v>
      </c>
      <c r="CI30" s="8" t="s">
        <v>18</v>
      </c>
      <c r="CJ30" s="8"/>
      <c r="CK30" s="8"/>
      <c r="CM30" s="10">
        <v>11.012</v>
      </c>
      <c r="CN30" s="10">
        <v>525.96027105497797</v>
      </c>
      <c r="CO30" s="8" t="s">
        <v>18</v>
      </c>
      <c r="CP30" s="8"/>
      <c r="CQ30" s="8"/>
    </row>
    <row r="31" spans="1:95" ht="15">
      <c r="A31" s="4" t="s">
        <v>30</v>
      </c>
      <c r="B31" s="2"/>
      <c r="C31" s="2"/>
      <c r="D31" s="2"/>
      <c r="E31" s="2"/>
      <c r="G31" s="4" t="s">
        <v>32</v>
      </c>
      <c r="H31" s="2"/>
      <c r="I31" s="2"/>
      <c r="J31" s="2"/>
      <c r="K31" s="2"/>
      <c r="M31" s="10">
        <v>16.655000000000001</v>
      </c>
      <c r="N31" s="10">
        <v>605.815850797282</v>
      </c>
      <c r="O31" s="8" t="s">
        <v>18</v>
      </c>
      <c r="P31" s="8"/>
      <c r="Q31" s="8"/>
      <c r="S31" s="10" t="s">
        <v>32</v>
      </c>
      <c r="T31" s="8"/>
      <c r="U31" s="8"/>
      <c r="V31" s="8"/>
      <c r="W31" s="8"/>
      <c r="AE31" s="8"/>
      <c r="AF31" s="8"/>
      <c r="AG31" s="8"/>
      <c r="AH31" s="8"/>
      <c r="AI31" s="8"/>
      <c r="AK31" s="10" t="s">
        <v>32</v>
      </c>
      <c r="AL31" s="8"/>
      <c r="AM31" s="8"/>
      <c r="AN31" s="8"/>
      <c r="AO31" s="8"/>
      <c r="AQ31" s="8"/>
      <c r="AR31" s="8"/>
      <c r="AS31" s="8"/>
      <c r="AT31" s="8"/>
      <c r="AU31" s="8"/>
      <c r="AW31" s="10" t="s">
        <v>32</v>
      </c>
      <c r="AX31" s="8"/>
      <c r="AY31" s="8"/>
      <c r="AZ31" s="8"/>
      <c r="BA31" s="8"/>
      <c r="BC31" s="8" t="s">
        <v>25</v>
      </c>
      <c r="BD31" s="8"/>
      <c r="BE31" s="8"/>
      <c r="BF31" s="8"/>
      <c r="BG31" s="8"/>
      <c r="BI31" s="10">
        <v>14.824999999999999</v>
      </c>
      <c r="BJ31" s="12">
        <v>592.38258418176304</v>
      </c>
      <c r="BK31" s="8" t="s">
        <v>18</v>
      </c>
      <c r="BL31" s="8"/>
      <c r="BM31" s="8"/>
      <c r="BO31" s="8"/>
      <c r="BP31" s="8"/>
      <c r="BQ31" s="8"/>
      <c r="BR31" s="8"/>
      <c r="BS31" s="8"/>
      <c r="BU31" s="10" t="s">
        <v>32</v>
      </c>
      <c r="BV31" s="8"/>
      <c r="BW31" s="8"/>
      <c r="BX31" s="8"/>
      <c r="BY31" s="8"/>
      <c r="CA31" s="10">
        <v>11.91</v>
      </c>
      <c r="CB31" s="10">
        <v>556.98769418494896</v>
      </c>
      <c r="CC31" s="8" t="s">
        <v>18</v>
      </c>
      <c r="CD31" s="8"/>
      <c r="CE31" s="8"/>
      <c r="CG31" s="10">
        <v>12.275</v>
      </c>
      <c r="CH31" s="10">
        <v>540.66994628149098</v>
      </c>
      <c r="CI31" s="8" t="s">
        <v>18</v>
      </c>
      <c r="CJ31" s="8"/>
      <c r="CK31" s="8"/>
      <c r="CM31" s="10">
        <v>11.477</v>
      </c>
      <c r="CN31" s="10">
        <v>540.04535338656694</v>
      </c>
      <c r="CO31" s="8" t="s">
        <v>18</v>
      </c>
      <c r="CP31" s="8"/>
      <c r="CQ31" s="8"/>
    </row>
    <row r="32" spans="1:95" ht="15">
      <c r="A32" s="4" t="s">
        <v>31</v>
      </c>
      <c r="B32" s="2"/>
      <c r="C32" s="2"/>
      <c r="D32" s="2"/>
      <c r="E32" s="2"/>
      <c r="M32" s="10">
        <v>17.399999999999999</v>
      </c>
      <c r="N32" s="10">
        <v>590.17867546013099</v>
      </c>
      <c r="O32" s="8" t="s">
        <v>18</v>
      </c>
      <c r="P32" s="8"/>
      <c r="Q32" s="8"/>
      <c r="S32" s="8"/>
      <c r="T32" s="8"/>
      <c r="U32" s="8"/>
      <c r="V32" s="8"/>
      <c r="W32" s="8"/>
      <c r="AK32" s="8"/>
      <c r="AL32" s="8"/>
      <c r="AM32" s="8"/>
      <c r="AN32" s="8"/>
      <c r="AO32" s="8"/>
      <c r="AW32" s="8"/>
      <c r="AX32" s="8"/>
      <c r="AY32" s="8"/>
      <c r="AZ32" s="8"/>
      <c r="BA32" s="8"/>
      <c r="BC32" s="8" t="s">
        <v>26</v>
      </c>
      <c r="BD32" s="8"/>
      <c r="BE32" s="8"/>
      <c r="BF32" s="8"/>
      <c r="BG32" s="8"/>
      <c r="BI32" s="10">
        <v>15.88</v>
      </c>
      <c r="BJ32" s="12">
        <v>583.99758236954005</v>
      </c>
      <c r="BK32" s="8" t="s">
        <v>18</v>
      </c>
      <c r="BL32" s="8"/>
      <c r="BM32" s="8"/>
      <c r="BU32" s="8"/>
      <c r="BV32" s="8"/>
      <c r="BW32" s="8"/>
      <c r="BX32" s="8"/>
      <c r="BY32" s="8"/>
      <c r="CA32" s="10">
        <v>12.85</v>
      </c>
      <c r="CB32" s="10">
        <v>565.33131693306098</v>
      </c>
      <c r="CC32" s="8" t="s">
        <v>18</v>
      </c>
      <c r="CD32" s="8"/>
      <c r="CE32" s="8"/>
      <c r="CG32" s="10">
        <v>13.17</v>
      </c>
      <c r="CH32" s="10">
        <v>552.37351637389304</v>
      </c>
      <c r="CI32" s="8" t="s">
        <v>18</v>
      </c>
      <c r="CJ32" s="8"/>
      <c r="CK32" s="8"/>
      <c r="CM32" s="10">
        <v>12.1</v>
      </c>
      <c r="CN32" s="10">
        <v>532.778459751014</v>
      </c>
      <c r="CO32" s="8" t="s">
        <v>18</v>
      </c>
      <c r="CP32" s="8"/>
      <c r="CQ32" s="8"/>
    </row>
    <row r="33" spans="1:95" ht="15">
      <c r="A33" s="4" t="s">
        <v>32</v>
      </c>
      <c r="B33" s="2"/>
      <c r="C33" s="2"/>
      <c r="D33" s="2"/>
      <c r="E33" s="2"/>
      <c r="M33" s="10">
        <v>18.344999999999999</v>
      </c>
      <c r="N33" s="10">
        <v>604.42409772451003</v>
      </c>
      <c r="O33" s="8" t="s">
        <v>18</v>
      </c>
      <c r="P33" s="8"/>
      <c r="Q33" s="8"/>
      <c r="S33" s="8"/>
      <c r="T33" s="8"/>
      <c r="U33" s="8"/>
      <c r="V33" s="8"/>
      <c r="W33" s="8"/>
      <c r="AK33" s="8"/>
      <c r="AL33" s="8"/>
      <c r="AM33" s="8"/>
      <c r="AN33" s="8"/>
      <c r="AO33" s="8"/>
      <c r="BC33" s="8" t="s">
        <v>27</v>
      </c>
      <c r="BD33" s="8"/>
      <c r="BE33" s="8"/>
      <c r="BF33" s="8"/>
      <c r="BG33" s="8"/>
      <c r="BI33" s="10">
        <v>16.95</v>
      </c>
      <c r="BJ33" s="12">
        <v>597.92409801260101</v>
      </c>
      <c r="BK33" s="8" t="s">
        <v>18</v>
      </c>
      <c r="BL33" s="8"/>
      <c r="BM33" s="8"/>
      <c r="BU33" s="8"/>
      <c r="BV33" s="8"/>
      <c r="BW33" s="8"/>
      <c r="BX33" s="8"/>
      <c r="BY33" s="8"/>
      <c r="CA33" s="10">
        <v>13.805</v>
      </c>
      <c r="CB33" s="10">
        <v>571.50218549424198</v>
      </c>
      <c r="CC33" s="8" t="s">
        <v>18</v>
      </c>
      <c r="CD33" s="8"/>
      <c r="CE33" s="8"/>
      <c r="CG33" s="10">
        <v>14.065</v>
      </c>
      <c r="CH33" s="10">
        <v>555.79460800528102</v>
      </c>
      <c r="CI33" s="8" t="s">
        <v>18</v>
      </c>
      <c r="CJ33" s="8"/>
      <c r="CK33" s="8"/>
      <c r="CM33" s="8"/>
      <c r="CN33" s="8"/>
      <c r="CO33" s="8"/>
      <c r="CP33" s="8"/>
      <c r="CQ33" s="8"/>
    </row>
    <row r="34" spans="1:95" ht="15">
      <c r="A34" s="2"/>
      <c r="B34" s="2"/>
      <c r="C34" s="2"/>
      <c r="D34" s="2"/>
      <c r="E34" s="2"/>
      <c r="M34" s="10">
        <v>19.265000000000001</v>
      </c>
      <c r="N34" s="10">
        <v>596.47782700017797</v>
      </c>
      <c r="O34" s="8" t="s">
        <v>18</v>
      </c>
      <c r="P34" s="8"/>
      <c r="Q34" s="8"/>
      <c r="AK34" s="8"/>
      <c r="AL34" s="8"/>
      <c r="AM34" s="8"/>
      <c r="AN34" s="8"/>
      <c r="AO34" s="8"/>
      <c r="BC34" s="8" t="s">
        <v>28</v>
      </c>
      <c r="BD34" s="8"/>
      <c r="BE34" s="8"/>
      <c r="BF34" s="8"/>
      <c r="BG34" s="8"/>
      <c r="BI34" s="10">
        <v>18.02</v>
      </c>
      <c r="BJ34" s="12">
        <v>593.95989406878505</v>
      </c>
      <c r="BK34" s="8" t="s">
        <v>18</v>
      </c>
      <c r="BL34" s="8"/>
      <c r="BM34" s="8"/>
      <c r="BU34" s="8"/>
      <c r="BV34" s="8"/>
      <c r="BW34" s="8"/>
      <c r="BX34" s="8"/>
      <c r="BY34" s="8"/>
      <c r="CA34" s="10">
        <v>14.785</v>
      </c>
      <c r="CB34" s="10">
        <v>571.704946781883</v>
      </c>
      <c r="CC34" s="8" t="s">
        <v>18</v>
      </c>
      <c r="CD34" s="8"/>
      <c r="CE34" s="8"/>
      <c r="CG34" s="8"/>
      <c r="CH34" s="8"/>
      <c r="CI34" s="8"/>
      <c r="CJ34" s="8"/>
      <c r="CK34" s="8"/>
      <c r="CM34" s="8" t="s">
        <v>25</v>
      </c>
      <c r="CN34" s="8"/>
      <c r="CO34" s="8"/>
      <c r="CP34" s="8"/>
      <c r="CQ34" s="8"/>
    </row>
    <row r="35" spans="1:95" ht="15">
      <c r="M35" s="10">
        <v>20.125</v>
      </c>
      <c r="N35" s="10">
        <v>608.550058441327</v>
      </c>
      <c r="O35" s="8" t="s">
        <v>18</v>
      </c>
      <c r="P35" s="8"/>
      <c r="Q35" s="8"/>
      <c r="BC35" s="10" t="s">
        <v>29</v>
      </c>
      <c r="BD35" s="8"/>
      <c r="BE35" s="8"/>
      <c r="BF35" s="8"/>
      <c r="BG35" s="8"/>
      <c r="BI35" s="8"/>
      <c r="BJ35" s="8"/>
      <c r="BK35" s="8"/>
      <c r="BL35" s="8"/>
      <c r="BM35" s="8"/>
      <c r="CA35" s="8"/>
      <c r="CB35" s="8"/>
      <c r="CC35" s="8"/>
      <c r="CD35" s="8"/>
      <c r="CE35" s="8"/>
      <c r="CG35" s="8" t="s">
        <v>25</v>
      </c>
      <c r="CH35" s="8"/>
      <c r="CI35" s="8"/>
      <c r="CJ35" s="8"/>
      <c r="CK35" s="8"/>
      <c r="CM35" s="8" t="s">
        <v>26</v>
      </c>
      <c r="CN35" s="8"/>
      <c r="CO35" s="8"/>
      <c r="CP35" s="8"/>
      <c r="CQ35" s="8"/>
    </row>
    <row r="36" spans="1:95" ht="15">
      <c r="M36" s="8"/>
      <c r="N36" s="8"/>
      <c r="O36" s="8"/>
      <c r="P36" s="8"/>
      <c r="Q36" s="8"/>
      <c r="BC36" s="10" t="s">
        <v>30</v>
      </c>
      <c r="BD36" s="8"/>
      <c r="BE36" s="8"/>
      <c r="BF36" s="8"/>
      <c r="BG36" s="8"/>
      <c r="BI36" s="8" t="s">
        <v>25</v>
      </c>
      <c r="BJ36" s="8"/>
      <c r="BK36" s="8"/>
      <c r="BL36" s="8"/>
      <c r="BM36" s="8"/>
      <c r="CA36" s="8" t="s">
        <v>25</v>
      </c>
      <c r="CB36" s="8"/>
      <c r="CC36" s="8"/>
      <c r="CD36" s="8"/>
      <c r="CE36" s="8"/>
      <c r="CG36" s="8" t="s">
        <v>26</v>
      </c>
      <c r="CH36" s="8"/>
      <c r="CI36" s="8"/>
      <c r="CJ36" s="8"/>
      <c r="CK36" s="8"/>
      <c r="CM36" s="8" t="s">
        <v>27</v>
      </c>
      <c r="CN36" s="8"/>
      <c r="CO36" s="8"/>
      <c r="CP36" s="8"/>
      <c r="CQ36" s="8"/>
    </row>
    <row r="37" spans="1:95" ht="15">
      <c r="M37" s="8" t="s">
        <v>25</v>
      </c>
      <c r="N37" s="8"/>
      <c r="O37" s="8"/>
      <c r="P37" s="8"/>
      <c r="Q37" s="8"/>
      <c r="BC37" s="10" t="s">
        <v>31</v>
      </c>
      <c r="BD37" s="8"/>
      <c r="BE37" s="8"/>
      <c r="BF37" s="8"/>
      <c r="BG37" s="8"/>
      <c r="BI37" s="8" t="s">
        <v>26</v>
      </c>
      <c r="BJ37" s="8"/>
      <c r="BK37" s="8"/>
      <c r="BL37" s="8"/>
      <c r="BM37" s="8"/>
      <c r="CA37" s="8" t="s">
        <v>26</v>
      </c>
      <c r="CB37" s="8"/>
      <c r="CC37" s="8"/>
      <c r="CD37" s="8"/>
      <c r="CE37" s="8"/>
      <c r="CG37" s="8" t="s">
        <v>27</v>
      </c>
      <c r="CH37" s="8"/>
      <c r="CI37" s="8"/>
      <c r="CJ37" s="8"/>
      <c r="CK37" s="8"/>
      <c r="CM37" s="8" t="s">
        <v>28</v>
      </c>
      <c r="CN37" s="8"/>
      <c r="CO37" s="8"/>
      <c r="CP37" s="8"/>
      <c r="CQ37" s="8"/>
    </row>
    <row r="38" spans="1:95" ht="15">
      <c r="M38" s="8" t="s">
        <v>26</v>
      </c>
      <c r="N38" s="8"/>
      <c r="O38" s="8"/>
      <c r="P38" s="8"/>
      <c r="Q38" s="8"/>
      <c r="BC38" s="10" t="s">
        <v>32</v>
      </c>
      <c r="BD38" s="8"/>
      <c r="BE38" s="8"/>
      <c r="BF38" s="8"/>
      <c r="BG38" s="8"/>
      <c r="BI38" s="8" t="s">
        <v>27</v>
      </c>
      <c r="BJ38" s="8"/>
      <c r="BK38" s="8"/>
      <c r="BL38" s="8"/>
      <c r="BM38" s="8"/>
      <c r="CA38" s="8" t="s">
        <v>27</v>
      </c>
      <c r="CB38" s="8"/>
      <c r="CC38" s="8"/>
      <c r="CD38" s="8"/>
      <c r="CE38" s="8"/>
      <c r="CG38" s="8" t="s">
        <v>28</v>
      </c>
      <c r="CH38" s="8"/>
      <c r="CI38" s="8"/>
      <c r="CJ38" s="8"/>
      <c r="CK38" s="8"/>
      <c r="CM38" s="10" t="s">
        <v>29</v>
      </c>
      <c r="CN38" s="8"/>
      <c r="CO38" s="8"/>
      <c r="CP38" s="8"/>
      <c r="CQ38" s="8"/>
    </row>
    <row r="39" spans="1:95" ht="15">
      <c r="M39" s="8" t="s">
        <v>27</v>
      </c>
      <c r="N39" s="8"/>
      <c r="O39" s="8"/>
      <c r="P39" s="8"/>
      <c r="Q39" s="8"/>
      <c r="BC39" s="8"/>
      <c r="BD39" s="8"/>
      <c r="BE39" s="8"/>
      <c r="BF39" s="8"/>
      <c r="BG39" s="8"/>
      <c r="BI39" s="8" t="s">
        <v>28</v>
      </c>
      <c r="BJ39" s="8"/>
      <c r="BK39" s="8"/>
      <c r="BL39" s="8"/>
      <c r="BM39" s="8"/>
      <c r="CA39" s="8" t="s">
        <v>28</v>
      </c>
      <c r="CB39" s="8"/>
      <c r="CC39" s="8"/>
      <c r="CD39" s="8"/>
      <c r="CE39" s="8"/>
      <c r="CG39" s="10" t="s">
        <v>29</v>
      </c>
      <c r="CH39" s="8"/>
      <c r="CI39" s="8"/>
      <c r="CJ39" s="8"/>
      <c r="CK39" s="8"/>
      <c r="CM39" s="10" t="s">
        <v>30</v>
      </c>
      <c r="CN39" s="8"/>
      <c r="CO39" s="8"/>
      <c r="CP39" s="8"/>
      <c r="CQ39" s="8"/>
    </row>
    <row r="40" spans="1:95" ht="15">
      <c r="M40" s="8" t="s">
        <v>28</v>
      </c>
      <c r="N40" s="8"/>
      <c r="O40" s="8"/>
      <c r="P40" s="8"/>
      <c r="Q40" s="8"/>
      <c r="BC40" s="8"/>
      <c r="BD40" s="8"/>
      <c r="BE40" s="8"/>
      <c r="BF40" s="8"/>
      <c r="BG40" s="8"/>
      <c r="BI40" s="10" t="s">
        <v>29</v>
      </c>
      <c r="BJ40" s="8"/>
      <c r="BK40" s="8"/>
      <c r="BL40" s="8"/>
      <c r="BM40" s="8"/>
      <c r="CA40" s="10" t="s">
        <v>29</v>
      </c>
      <c r="CB40" s="8"/>
      <c r="CC40" s="8"/>
      <c r="CD40" s="8"/>
      <c r="CE40" s="8"/>
      <c r="CG40" s="10" t="s">
        <v>30</v>
      </c>
      <c r="CH40" s="8"/>
      <c r="CI40" s="8"/>
      <c r="CJ40" s="8"/>
      <c r="CK40" s="8"/>
      <c r="CM40" s="10" t="s">
        <v>31</v>
      </c>
      <c r="CN40" s="8"/>
      <c r="CO40" s="8"/>
      <c r="CP40" s="8"/>
      <c r="CQ40" s="8"/>
    </row>
    <row r="41" spans="1:95" ht="15">
      <c r="M41" s="10" t="s">
        <v>29</v>
      </c>
      <c r="N41" s="8"/>
      <c r="O41" s="8"/>
      <c r="P41" s="8"/>
      <c r="Q41" s="8"/>
      <c r="BI41" s="10" t="s">
        <v>30</v>
      </c>
      <c r="BJ41" s="8"/>
      <c r="BK41" s="8"/>
      <c r="BL41" s="8"/>
      <c r="BM41" s="8"/>
      <c r="CA41" s="10" t="s">
        <v>30</v>
      </c>
      <c r="CB41" s="8"/>
      <c r="CC41" s="8"/>
      <c r="CD41" s="8"/>
      <c r="CE41" s="8"/>
      <c r="CG41" s="10" t="s">
        <v>31</v>
      </c>
      <c r="CH41" s="8"/>
      <c r="CI41" s="8"/>
      <c r="CJ41" s="8"/>
      <c r="CK41" s="8"/>
      <c r="CM41" s="10" t="s">
        <v>32</v>
      </c>
      <c r="CN41" s="8"/>
      <c r="CO41" s="8"/>
      <c r="CP41" s="8"/>
      <c r="CQ41" s="8"/>
    </row>
    <row r="42" spans="1:95" ht="15">
      <c r="M42" s="10" t="s">
        <v>30</v>
      </c>
      <c r="N42" s="8"/>
      <c r="O42" s="8"/>
      <c r="P42" s="8"/>
      <c r="Q42" s="8"/>
      <c r="BI42" s="10" t="s">
        <v>31</v>
      </c>
      <c r="BJ42" s="8"/>
      <c r="BK42" s="8"/>
      <c r="BL42" s="8"/>
      <c r="BM42" s="8"/>
      <c r="CA42" s="10" t="s">
        <v>31</v>
      </c>
      <c r="CB42" s="8"/>
      <c r="CC42" s="8"/>
      <c r="CD42" s="8"/>
      <c r="CE42" s="8"/>
      <c r="CG42" s="10" t="s">
        <v>32</v>
      </c>
      <c r="CH42" s="8"/>
      <c r="CI42" s="8"/>
      <c r="CJ42" s="8"/>
      <c r="CK42" s="8"/>
      <c r="CM42" s="8"/>
      <c r="CN42" s="8"/>
      <c r="CO42" s="8"/>
      <c r="CP42" s="8"/>
      <c r="CQ42" s="8"/>
    </row>
    <row r="43" spans="1:95" ht="15">
      <c r="M43" s="10" t="s">
        <v>31</v>
      </c>
      <c r="N43" s="8"/>
      <c r="O43" s="8"/>
      <c r="P43" s="8"/>
      <c r="Q43" s="8"/>
      <c r="BI43" s="10" t="s">
        <v>32</v>
      </c>
      <c r="BJ43" s="8"/>
      <c r="BK43" s="8"/>
      <c r="BL43" s="8"/>
      <c r="BM43" s="8"/>
      <c r="CA43" s="10" t="s">
        <v>32</v>
      </c>
      <c r="CB43" s="8"/>
      <c r="CC43" s="8"/>
      <c r="CD43" s="8"/>
      <c r="CE43" s="8"/>
      <c r="CG43" s="8"/>
      <c r="CH43" s="8"/>
      <c r="CI43" s="8"/>
      <c r="CJ43" s="8"/>
      <c r="CK43" s="8"/>
      <c r="CM43" s="8"/>
      <c r="CN43" s="8"/>
      <c r="CO43" s="8"/>
      <c r="CP43" s="8"/>
      <c r="CQ43" s="8"/>
    </row>
    <row r="44" spans="1:95" ht="15">
      <c r="M44" s="10" t="s">
        <v>32</v>
      </c>
      <c r="N44" s="8"/>
      <c r="O44" s="8"/>
      <c r="P44" s="8"/>
      <c r="Q44" s="8"/>
      <c r="BI44" s="8"/>
      <c r="BJ44" s="8"/>
      <c r="BK44" s="8"/>
      <c r="BL44" s="8"/>
      <c r="BM44" s="8"/>
      <c r="CG44" s="8"/>
      <c r="CH44" s="8"/>
      <c r="CI44" s="8"/>
      <c r="CJ44" s="8"/>
      <c r="CK44" s="8"/>
    </row>
    <row r="45" spans="1:95" ht="15">
      <c r="BI45" s="8"/>
      <c r="BJ45" s="8"/>
      <c r="BK45" s="8"/>
      <c r="BL45" s="8"/>
      <c r="BM45" s="8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workbookViewId="0">
      <selection activeCell="H2" sqref="H2"/>
    </sheetView>
  </sheetViews>
  <sheetFormatPr baseColWidth="10" defaultColWidth="8.83203125" defaultRowHeight="14" x14ac:dyDescent="0"/>
  <cols>
    <col min="1" max="1" width="15.83203125" style="33" customWidth="1"/>
    <col min="2" max="3" width="11" customWidth="1"/>
    <col min="5" max="5" width="15.6640625" customWidth="1"/>
    <col min="7" max="9" width="11" customWidth="1"/>
  </cols>
  <sheetData>
    <row r="1" spans="1:23" ht="18">
      <c r="A1" s="6" t="s">
        <v>323</v>
      </c>
    </row>
    <row r="2" spans="1:23" ht="15.75" customHeight="1">
      <c r="A2" s="48" t="s">
        <v>301</v>
      </c>
      <c r="E2" s="5" t="s">
        <v>305</v>
      </c>
      <c r="K2" s="5" t="s">
        <v>308</v>
      </c>
    </row>
    <row r="3" spans="1:23" ht="15.75" customHeight="1">
      <c r="A3" s="33" t="s">
        <v>322</v>
      </c>
      <c r="E3" s="33" t="s">
        <v>322</v>
      </c>
      <c r="K3" s="33" t="s">
        <v>322</v>
      </c>
    </row>
    <row r="4" spans="1:23" ht="26.25" customHeight="1">
      <c r="E4" s="5" t="s">
        <v>307</v>
      </c>
      <c r="G4" s="5" t="s">
        <v>307</v>
      </c>
      <c r="K4" s="5" t="s">
        <v>312</v>
      </c>
      <c r="N4" s="5" t="s">
        <v>313</v>
      </c>
      <c r="Q4" s="23" t="s">
        <v>314</v>
      </c>
      <c r="R4" s="23" t="s">
        <v>315</v>
      </c>
      <c r="S4" s="25"/>
      <c r="T4" s="25"/>
      <c r="U4" s="25"/>
      <c r="V4" s="25"/>
      <c r="W4" s="25"/>
    </row>
    <row r="5" spans="1:23" ht="30.75" customHeight="1">
      <c r="A5" s="33" t="s">
        <v>303</v>
      </c>
      <c r="B5" t="s">
        <v>286</v>
      </c>
      <c r="E5" s="33" t="s">
        <v>303</v>
      </c>
      <c r="F5" t="s">
        <v>286</v>
      </c>
      <c r="G5" s="33" t="s">
        <v>303</v>
      </c>
      <c r="H5" t="s">
        <v>286</v>
      </c>
      <c r="K5" s="33" t="s">
        <v>219</v>
      </c>
      <c r="L5" s="36"/>
      <c r="N5" s="33" t="s">
        <v>233</v>
      </c>
      <c r="O5" s="36"/>
      <c r="Q5" s="54" t="s">
        <v>316</v>
      </c>
      <c r="R5" s="54"/>
      <c r="S5" s="25"/>
      <c r="T5" s="25"/>
      <c r="U5" s="25"/>
      <c r="V5" s="25"/>
      <c r="W5" s="25"/>
    </row>
    <row r="6" spans="1:23" ht="42">
      <c r="A6" s="33" t="s">
        <v>304</v>
      </c>
      <c r="B6" t="s">
        <v>13</v>
      </c>
      <c r="E6" s="33" t="s">
        <v>304</v>
      </c>
      <c r="F6" t="s">
        <v>13</v>
      </c>
      <c r="G6">
        <v>0</v>
      </c>
      <c r="H6">
        <v>336.13</v>
      </c>
      <c r="K6" s="49" t="s">
        <v>309</v>
      </c>
      <c r="L6" s="50" t="s">
        <v>310</v>
      </c>
      <c r="M6" s="51"/>
      <c r="N6" s="49" t="s">
        <v>309</v>
      </c>
      <c r="O6" s="50" t="s">
        <v>310</v>
      </c>
      <c r="P6" s="51"/>
      <c r="Q6" s="24" t="s">
        <v>302</v>
      </c>
      <c r="R6" s="24" t="s">
        <v>317</v>
      </c>
      <c r="S6" s="24" t="s">
        <v>318</v>
      </c>
      <c r="T6" s="24" t="s">
        <v>319</v>
      </c>
      <c r="U6" s="24" t="s">
        <v>320</v>
      </c>
      <c r="V6" s="24" t="s">
        <v>321</v>
      </c>
      <c r="W6" s="24" t="s">
        <v>286</v>
      </c>
    </row>
    <row r="7" spans="1:23" ht="15.75" customHeight="1">
      <c r="A7" s="33">
        <v>0</v>
      </c>
      <c r="B7">
        <v>413.41</v>
      </c>
      <c r="E7">
        <v>0</v>
      </c>
      <c r="F7">
        <v>351.57</v>
      </c>
      <c r="G7">
        <v>0.93</v>
      </c>
      <c r="H7">
        <v>381.12</v>
      </c>
      <c r="K7" s="33" t="s">
        <v>311</v>
      </c>
      <c r="L7" s="36"/>
      <c r="N7" s="33"/>
      <c r="O7" s="36"/>
      <c r="Q7" s="25">
        <v>0</v>
      </c>
      <c r="R7" s="25">
        <f t="shared" ref="R7:R29" si="0">(Q8-Q7)/2+Q7</f>
        <v>0.505</v>
      </c>
      <c r="S7" s="25">
        <v>101</v>
      </c>
      <c r="T7" s="25">
        <v>10</v>
      </c>
      <c r="U7" s="25">
        <v>2.4409999999999998</v>
      </c>
      <c r="V7" s="25">
        <v>7.9299999999999995E-3</v>
      </c>
      <c r="W7" s="25">
        <f t="shared" ref="W7:W30" si="1">+U7/V7</f>
        <v>307.81841109709961</v>
      </c>
    </row>
    <row r="8" spans="1:23" ht="15.75" customHeight="1">
      <c r="A8" s="33">
        <v>1.05</v>
      </c>
      <c r="E8">
        <v>1.04</v>
      </c>
      <c r="F8">
        <v>398.66</v>
      </c>
      <c r="G8">
        <v>2.0699999999999998</v>
      </c>
      <c r="H8">
        <v>424.45</v>
      </c>
      <c r="K8" s="33">
        <v>0.55000000000000004</v>
      </c>
      <c r="L8" s="36">
        <v>351.81</v>
      </c>
      <c r="N8" s="33">
        <v>0.51</v>
      </c>
      <c r="O8" s="36">
        <v>332.37400000000002</v>
      </c>
      <c r="Q8" s="25">
        <v>1.01</v>
      </c>
      <c r="R8" s="25">
        <f t="shared" si="0"/>
        <v>1.5249999999999999</v>
      </c>
      <c r="S8" s="25">
        <v>103</v>
      </c>
      <c r="T8" s="25">
        <v>10</v>
      </c>
      <c r="U8" s="25">
        <v>3.089</v>
      </c>
      <c r="V8" s="25">
        <v>8.09E-3</v>
      </c>
      <c r="W8" s="25">
        <f t="shared" si="1"/>
        <v>381.82941903584674</v>
      </c>
    </row>
    <row r="9" spans="1:23" ht="30.75" customHeight="1">
      <c r="A9" s="33">
        <v>2.1</v>
      </c>
      <c r="B9">
        <v>479.02</v>
      </c>
      <c r="E9">
        <v>2.0099999999999998</v>
      </c>
      <c r="F9">
        <v>395.64</v>
      </c>
      <c r="G9">
        <v>3.14</v>
      </c>
      <c r="H9">
        <v>455.18</v>
      </c>
      <c r="K9" s="33">
        <v>1.615</v>
      </c>
      <c r="L9" s="36">
        <v>415.14</v>
      </c>
      <c r="N9" s="33">
        <v>1.48</v>
      </c>
      <c r="O9" s="36">
        <v>392.23500000000001</v>
      </c>
      <c r="Q9" s="25">
        <v>2.04</v>
      </c>
      <c r="R9" s="25">
        <f t="shared" si="0"/>
        <v>2.5499999999999998</v>
      </c>
      <c r="S9" s="25">
        <v>102</v>
      </c>
      <c r="T9" s="25">
        <v>10</v>
      </c>
      <c r="U9" s="25">
        <v>3.214</v>
      </c>
      <c r="V9" s="25">
        <v>8.0099999999999998E-3</v>
      </c>
      <c r="W9" s="25">
        <f t="shared" si="1"/>
        <v>401.24843945068665</v>
      </c>
    </row>
    <row r="10" spans="1:23" ht="30.75" customHeight="1">
      <c r="A10" s="33">
        <v>3.13</v>
      </c>
      <c r="B10">
        <v>483.34</v>
      </c>
      <c r="E10">
        <v>2.96</v>
      </c>
      <c r="F10">
        <v>440.64</v>
      </c>
      <c r="G10">
        <v>4.18</v>
      </c>
      <c r="H10">
        <v>468.4</v>
      </c>
      <c r="K10" s="33">
        <v>2.625</v>
      </c>
      <c r="L10" s="36">
        <v>435.92</v>
      </c>
      <c r="N10" s="33">
        <v>2.4900000000000002</v>
      </c>
      <c r="O10" s="36">
        <v>420.23599999999999</v>
      </c>
      <c r="Q10" s="25">
        <v>3.06</v>
      </c>
      <c r="R10" s="25">
        <f t="shared" si="0"/>
        <v>3.5650000000000004</v>
      </c>
      <c r="S10" s="25">
        <v>101</v>
      </c>
      <c r="T10" s="25">
        <v>10</v>
      </c>
      <c r="U10" s="25">
        <v>3.6030000000000002</v>
      </c>
      <c r="V10" s="25">
        <v>7.9299999999999995E-3</v>
      </c>
      <c r="W10" s="25">
        <f t="shared" si="1"/>
        <v>454.3505674653216</v>
      </c>
    </row>
    <row r="11" spans="1:23" ht="30.75" customHeight="1">
      <c r="A11" s="33">
        <v>4.17</v>
      </c>
      <c r="B11">
        <v>507.46</v>
      </c>
      <c r="E11">
        <v>4</v>
      </c>
      <c r="F11">
        <v>460.15</v>
      </c>
      <c r="G11">
        <v>5.0599999999999996</v>
      </c>
      <c r="H11">
        <v>464.84</v>
      </c>
      <c r="K11" s="33">
        <v>3.64</v>
      </c>
      <c r="L11" s="36">
        <v>443.34</v>
      </c>
      <c r="N11" s="33">
        <v>3.51</v>
      </c>
      <c r="O11" s="36">
        <v>441.89</v>
      </c>
      <c r="Q11" s="25">
        <v>4.07</v>
      </c>
      <c r="R11" s="25">
        <f t="shared" si="0"/>
        <v>4.5724999999999998</v>
      </c>
      <c r="S11" s="25">
        <v>100.5</v>
      </c>
      <c r="T11" s="25">
        <v>10.199999999999999</v>
      </c>
      <c r="U11" s="25">
        <v>3.4620000000000002</v>
      </c>
      <c r="V11" s="25">
        <v>8.2100000000000003E-3</v>
      </c>
      <c r="W11" s="25">
        <f t="shared" si="1"/>
        <v>421.68087697929354</v>
      </c>
    </row>
    <row r="12" spans="1:23" ht="30.75" customHeight="1">
      <c r="A12" s="33">
        <v>5.18</v>
      </c>
      <c r="B12">
        <v>511.46</v>
      </c>
      <c r="E12">
        <v>5.05</v>
      </c>
      <c r="F12">
        <v>461.3</v>
      </c>
      <c r="G12">
        <v>6.05</v>
      </c>
      <c r="H12">
        <v>483.34</v>
      </c>
      <c r="K12" s="33">
        <v>4.6550000000000002</v>
      </c>
      <c r="L12" s="36">
        <v>452.74</v>
      </c>
      <c r="N12" s="33">
        <v>4.4800000000000004</v>
      </c>
      <c r="O12" s="36">
        <v>494.95699999999999</v>
      </c>
      <c r="Q12" s="25">
        <v>5.0750000000000002</v>
      </c>
      <c r="R12" s="25">
        <f t="shared" si="0"/>
        <v>5.59</v>
      </c>
      <c r="S12" s="25">
        <v>103</v>
      </c>
      <c r="T12" s="25">
        <v>10.199999999999999</v>
      </c>
      <c r="U12" s="25">
        <v>3.6890000000000001</v>
      </c>
      <c r="V12" s="25">
        <v>8.4200000000000004E-3</v>
      </c>
      <c r="W12" s="25">
        <f t="shared" si="1"/>
        <v>438.12351543942992</v>
      </c>
    </row>
    <row r="13" spans="1:23" ht="30.75" customHeight="1">
      <c r="A13" s="33">
        <v>6.21</v>
      </c>
      <c r="B13">
        <v>522.1</v>
      </c>
      <c r="E13">
        <v>6.09</v>
      </c>
      <c r="F13">
        <v>474.86</v>
      </c>
      <c r="G13">
        <v>7.09</v>
      </c>
      <c r="H13">
        <v>493.75</v>
      </c>
      <c r="K13" s="33">
        <v>5.6349999999999998</v>
      </c>
      <c r="L13" s="36">
        <v>471.06</v>
      </c>
      <c r="N13" s="33">
        <v>5.49</v>
      </c>
      <c r="O13" s="36">
        <v>461.51400000000001</v>
      </c>
      <c r="Q13" s="25">
        <v>6.1050000000000004</v>
      </c>
      <c r="R13" s="25">
        <f t="shared" si="0"/>
        <v>6.5925000000000002</v>
      </c>
      <c r="S13" s="25">
        <v>97.5</v>
      </c>
      <c r="T13" s="25">
        <v>10.199999999999999</v>
      </c>
      <c r="U13" s="25">
        <v>3.6459999999999999</v>
      </c>
      <c r="V13" s="25">
        <v>7.9699999999999997E-3</v>
      </c>
      <c r="W13" s="25">
        <f t="shared" si="1"/>
        <v>457.46549560853202</v>
      </c>
    </row>
    <row r="14" spans="1:23" ht="30.75" customHeight="1">
      <c r="A14" s="33">
        <v>7.22</v>
      </c>
      <c r="B14">
        <v>546.58000000000004</v>
      </c>
      <c r="E14">
        <v>7.07</v>
      </c>
      <c r="F14">
        <v>502.61</v>
      </c>
      <c r="G14">
        <v>8.0399999999999991</v>
      </c>
      <c r="H14">
        <v>514.17999999999995</v>
      </c>
      <c r="K14" s="33">
        <v>6.5949999999999998</v>
      </c>
      <c r="L14" s="36">
        <v>490.05</v>
      </c>
      <c r="N14" s="33">
        <v>6.54</v>
      </c>
      <c r="O14" s="36">
        <v>483.19799999999998</v>
      </c>
      <c r="Q14" s="25">
        <v>7.08</v>
      </c>
      <c r="R14" s="25">
        <f t="shared" si="0"/>
        <v>7.58</v>
      </c>
      <c r="S14" s="25">
        <v>100</v>
      </c>
      <c r="T14" s="25">
        <v>10.199999999999999</v>
      </c>
      <c r="U14" s="25">
        <v>3.883</v>
      </c>
      <c r="V14" s="25">
        <v>8.1700000000000002E-3</v>
      </c>
      <c r="W14" s="25">
        <f t="shared" si="1"/>
        <v>475.27539779681763</v>
      </c>
    </row>
    <row r="15" spans="1:23" ht="30.75" customHeight="1">
      <c r="A15" s="33">
        <v>8.27</v>
      </c>
      <c r="B15">
        <v>539.04</v>
      </c>
      <c r="E15">
        <v>8.0500000000000007</v>
      </c>
      <c r="F15">
        <v>512.32000000000005</v>
      </c>
      <c r="G15">
        <v>8.99</v>
      </c>
      <c r="H15">
        <v>501.33</v>
      </c>
      <c r="K15" s="33">
        <v>7.5449999999999999</v>
      </c>
      <c r="L15" s="36">
        <v>500.41</v>
      </c>
      <c r="N15" s="33">
        <v>7.58</v>
      </c>
      <c r="O15" s="36">
        <v>488.714</v>
      </c>
      <c r="Q15" s="25">
        <v>8.08</v>
      </c>
      <c r="R15" s="25">
        <f t="shared" si="0"/>
        <v>8.5850000000000009</v>
      </c>
      <c r="S15" s="25">
        <v>101</v>
      </c>
      <c r="T15" s="25">
        <v>10.199999999999999</v>
      </c>
      <c r="U15" s="25">
        <v>4.0439999999999996</v>
      </c>
      <c r="V15" s="25">
        <v>8.2500000000000004E-3</v>
      </c>
      <c r="W15" s="25">
        <f t="shared" si="1"/>
        <v>490.18181818181813</v>
      </c>
    </row>
    <row r="16" spans="1:23" ht="30.75" customHeight="1">
      <c r="A16" s="33">
        <v>9.31</v>
      </c>
      <c r="B16">
        <v>533.99</v>
      </c>
      <c r="E16">
        <v>8.99</v>
      </c>
      <c r="F16">
        <v>510.9</v>
      </c>
      <c r="G16">
        <v>9.98</v>
      </c>
      <c r="H16">
        <v>518.64</v>
      </c>
      <c r="K16" s="33">
        <v>8.5</v>
      </c>
      <c r="L16" s="36">
        <v>507.3</v>
      </c>
      <c r="N16" s="33">
        <v>8.5399999999999991</v>
      </c>
      <c r="O16" s="36">
        <v>510.55200000000002</v>
      </c>
      <c r="Q16" s="25">
        <v>9.09</v>
      </c>
      <c r="R16" s="25">
        <f t="shared" si="0"/>
        <v>9.5949999999999989</v>
      </c>
      <c r="S16" s="25">
        <v>101</v>
      </c>
      <c r="T16" s="25">
        <v>10.199999999999999</v>
      </c>
      <c r="U16" s="25">
        <v>4.0170000000000003</v>
      </c>
      <c r="V16" s="25">
        <v>8.2500000000000004E-3</v>
      </c>
      <c r="W16" s="25">
        <f t="shared" si="1"/>
        <v>486.90909090909093</v>
      </c>
    </row>
    <row r="17" spans="1:23" ht="30.75" customHeight="1">
      <c r="A17" s="33">
        <v>10.35</v>
      </c>
      <c r="B17">
        <v>549.63</v>
      </c>
      <c r="E17">
        <v>10.02</v>
      </c>
      <c r="F17">
        <v>508.97</v>
      </c>
      <c r="G17">
        <v>10.93</v>
      </c>
      <c r="H17">
        <v>513.54999999999995</v>
      </c>
      <c r="K17" s="33">
        <v>9.49</v>
      </c>
      <c r="L17" s="36">
        <v>521.11</v>
      </c>
      <c r="N17" s="33">
        <v>9.52</v>
      </c>
      <c r="O17" s="36">
        <v>509.76900000000001</v>
      </c>
      <c r="Q17" s="25">
        <v>10.1</v>
      </c>
      <c r="R17" s="25">
        <f t="shared" si="0"/>
        <v>10.6</v>
      </c>
      <c r="S17" s="25">
        <v>100</v>
      </c>
      <c r="T17" s="25">
        <v>10.199999999999999</v>
      </c>
      <c r="U17" s="25">
        <v>4.4119999999999999</v>
      </c>
      <c r="V17" s="25">
        <v>8.1700000000000002E-3</v>
      </c>
      <c r="W17" s="25">
        <f t="shared" si="1"/>
        <v>540.0244798041615</v>
      </c>
    </row>
    <row r="18" spans="1:23" ht="30.75" customHeight="1">
      <c r="A18" s="33">
        <v>11.39</v>
      </c>
      <c r="B18">
        <v>563.04</v>
      </c>
      <c r="E18">
        <v>11.04</v>
      </c>
      <c r="F18">
        <v>524.64</v>
      </c>
      <c r="G18">
        <v>11.73</v>
      </c>
      <c r="K18" s="33">
        <v>10.47</v>
      </c>
      <c r="L18" s="36">
        <v>539.16999999999996</v>
      </c>
      <c r="N18" s="33">
        <v>10.55</v>
      </c>
      <c r="O18" s="36">
        <v>529.34199999999998</v>
      </c>
      <c r="Q18" s="25">
        <v>11.1</v>
      </c>
      <c r="R18" s="25">
        <f t="shared" si="0"/>
        <v>11.577500000000001</v>
      </c>
      <c r="S18" s="25">
        <v>95.5</v>
      </c>
      <c r="T18" s="25">
        <v>10.199999999999999</v>
      </c>
      <c r="U18" s="25">
        <v>4.0389999999999997</v>
      </c>
      <c r="V18" s="25">
        <v>7.7999999999999996E-3</v>
      </c>
      <c r="W18" s="25">
        <f t="shared" si="1"/>
        <v>517.82051282051282</v>
      </c>
    </row>
    <row r="19" spans="1:23" ht="30.75" customHeight="1">
      <c r="A19" s="33">
        <v>12.41</v>
      </c>
      <c r="B19">
        <v>560.87</v>
      </c>
      <c r="E19">
        <v>12.07</v>
      </c>
      <c r="F19">
        <v>548.33000000000004</v>
      </c>
      <c r="K19" s="33">
        <v>11.445</v>
      </c>
      <c r="L19" s="36">
        <v>548.77</v>
      </c>
      <c r="N19" s="33">
        <v>11.57</v>
      </c>
      <c r="O19" s="36">
        <v>553.85299999999995</v>
      </c>
      <c r="Q19" s="25">
        <v>12.055</v>
      </c>
      <c r="R19" s="25">
        <f t="shared" si="0"/>
        <v>12.535</v>
      </c>
      <c r="S19" s="25">
        <v>96</v>
      </c>
      <c r="T19" s="25">
        <v>10.199999999999999</v>
      </c>
      <c r="U19" s="25">
        <v>4.1109999999999998</v>
      </c>
      <c r="V19" s="25">
        <v>7.8399999999999997E-3</v>
      </c>
      <c r="W19" s="25">
        <f t="shared" si="1"/>
        <v>524.36224489795916</v>
      </c>
    </row>
    <row r="20" spans="1:23" ht="30.75" customHeight="1">
      <c r="A20" s="33">
        <v>13.44</v>
      </c>
      <c r="B20">
        <v>567.44000000000005</v>
      </c>
      <c r="E20">
        <v>13.11</v>
      </c>
      <c r="F20">
        <v>553.65</v>
      </c>
      <c r="K20" s="33">
        <v>12.4</v>
      </c>
      <c r="L20" s="36">
        <v>548.9</v>
      </c>
      <c r="N20" s="33">
        <v>12.56</v>
      </c>
      <c r="O20" s="36">
        <v>548.76099999999997</v>
      </c>
      <c r="Q20" s="25">
        <v>13.015000000000001</v>
      </c>
      <c r="R20" s="25">
        <f t="shared" si="0"/>
        <v>13.522500000000001</v>
      </c>
      <c r="S20" s="25">
        <v>101.5</v>
      </c>
      <c r="T20" s="25">
        <v>10.199999999999999</v>
      </c>
      <c r="U20" s="25">
        <v>4.3890000000000002</v>
      </c>
      <c r="V20" s="25">
        <v>8.2900000000000005E-3</v>
      </c>
      <c r="W20" s="25">
        <f t="shared" si="1"/>
        <v>529.43305186972259</v>
      </c>
    </row>
    <row r="21" spans="1:23" ht="30.75" customHeight="1">
      <c r="A21" s="33">
        <v>14.48</v>
      </c>
      <c r="B21">
        <v>558.86</v>
      </c>
      <c r="E21">
        <v>14.14</v>
      </c>
      <c r="F21">
        <v>556.54</v>
      </c>
      <c r="K21" s="33">
        <v>13.3</v>
      </c>
      <c r="L21" s="36">
        <v>576.45000000000005</v>
      </c>
      <c r="N21" s="33">
        <v>13.55</v>
      </c>
      <c r="O21" s="36">
        <v>558.80600000000004</v>
      </c>
      <c r="Q21" s="25">
        <v>14.03</v>
      </c>
      <c r="R21" s="25">
        <f t="shared" si="0"/>
        <v>14.53</v>
      </c>
      <c r="S21" s="25">
        <v>100</v>
      </c>
      <c r="T21" s="25">
        <v>10.199999999999999</v>
      </c>
      <c r="U21" s="25">
        <v>4.3650000000000002</v>
      </c>
      <c r="V21" s="25">
        <v>8.1700000000000002E-3</v>
      </c>
      <c r="W21" s="25">
        <f t="shared" si="1"/>
        <v>534.27172582619346</v>
      </c>
    </row>
    <row r="22" spans="1:23" ht="30.75" customHeight="1">
      <c r="A22" s="33">
        <v>15.52</v>
      </c>
      <c r="B22">
        <v>568.1</v>
      </c>
      <c r="E22">
        <v>15.18</v>
      </c>
      <c r="F22">
        <v>565.54999999999995</v>
      </c>
      <c r="K22" s="33">
        <v>14.22</v>
      </c>
      <c r="L22" s="36">
        <v>569.63</v>
      </c>
      <c r="N22" s="33">
        <v>14.58</v>
      </c>
      <c r="O22" s="36">
        <v>570.16099999999994</v>
      </c>
      <c r="Q22" s="25">
        <v>15.03</v>
      </c>
      <c r="R22" s="25">
        <f t="shared" si="0"/>
        <v>15.530000000000001</v>
      </c>
      <c r="S22" s="25">
        <v>100</v>
      </c>
      <c r="T22" s="25">
        <v>10.199999999999999</v>
      </c>
      <c r="U22" s="25">
        <v>4.4029999999999996</v>
      </c>
      <c r="V22" s="25">
        <v>8.1700000000000002E-3</v>
      </c>
      <c r="W22" s="25">
        <f t="shared" si="1"/>
        <v>538.92288861689099</v>
      </c>
    </row>
    <row r="23" spans="1:23">
      <c r="A23" s="33">
        <v>16.559999999999999</v>
      </c>
      <c r="B23">
        <v>592.59</v>
      </c>
      <c r="E23">
        <v>16.170000000000002</v>
      </c>
      <c r="F23">
        <v>565.57000000000005</v>
      </c>
      <c r="K23" s="33">
        <v>15.175000000000001</v>
      </c>
      <c r="L23" s="36">
        <v>574.42999999999995</v>
      </c>
      <c r="N23" s="33">
        <v>15.61</v>
      </c>
      <c r="O23" s="36">
        <v>579.274</v>
      </c>
      <c r="Q23" s="25">
        <v>16.03</v>
      </c>
      <c r="R23" s="25">
        <f t="shared" si="0"/>
        <v>16.53</v>
      </c>
      <c r="S23" s="25">
        <v>100</v>
      </c>
      <c r="T23" s="25">
        <v>10.199999999999999</v>
      </c>
      <c r="U23" s="25">
        <v>4.6029999999999998</v>
      </c>
      <c r="V23" s="25">
        <v>8.1700000000000002E-3</v>
      </c>
      <c r="W23" s="25">
        <f t="shared" si="1"/>
        <v>563.40269277845778</v>
      </c>
    </row>
    <row r="24" spans="1:23" ht="15.75" customHeight="1">
      <c r="A24" s="33">
        <v>17.59</v>
      </c>
      <c r="B24">
        <v>586.35</v>
      </c>
      <c r="E24">
        <v>17.21</v>
      </c>
      <c r="F24">
        <v>576.78</v>
      </c>
      <c r="K24" s="33">
        <v>16.170000000000002</v>
      </c>
      <c r="L24" s="36">
        <v>586.85</v>
      </c>
      <c r="N24" s="33">
        <v>16.64</v>
      </c>
      <c r="O24" s="36">
        <v>577.58000000000004</v>
      </c>
      <c r="Q24" s="25">
        <v>17.03</v>
      </c>
      <c r="R24" s="25">
        <f t="shared" si="0"/>
        <v>17.535</v>
      </c>
      <c r="S24" s="25">
        <v>101</v>
      </c>
      <c r="T24" s="25">
        <v>10</v>
      </c>
      <c r="U24" s="25">
        <v>4.5460000000000003</v>
      </c>
      <c r="V24" s="25">
        <v>7.9299999999999995E-3</v>
      </c>
      <c r="W24" s="25">
        <f t="shared" si="1"/>
        <v>573.26607818411105</v>
      </c>
    </row>
    <row r="25" spans="1:23" ht="15.75" customHeight="1">
      <c r="A25" s="33">
        <v>18.63</v>
      </c>
      <c r="B25">
        <v>591.91</v>
      </c>
      <c r="E25">
        <v>18.23</v>
      </c>
      <c r="F25">
        <v>584.35</v>
      </c>
      <c r="K25" s="33">
        <v>17.190000000000001</v>
      </c>
      <c r="L25" s="36">
        <v>597.91</v>
      </c>
      <c r="N25" s="33">
        <v>17.66</v>
      </c>
      <c r="O25" s="36">
        <v>588.34799999999996</v>
      </c>
      <c r="Q25" s="25">
        <v>18.04</v>
      </c>
      <c r="R25" s="25">
        <f t="shared" si="0"/>
        <v>18.53</v>
      </c>
      <c r="S25" s="25">
        <v>98</v>
      </c>
      <c r="T25" s="25">
        <v>10</v>
      </c>
      <c r="U25" s="25">
        <v>4.53</v>
      </c>
      <c r="V25" s="25">
        <v>7.7000000000000002E-3</v>
      </c>
      <c r="W25" s="25">
        <f t="shared" si="1"/>
        <v>588.31168831168827</v>
      </c>
    </row>
    <row r="26" spans="1:23" ht="25.5" customHeight="1">
      <c r="A26" s="33">
        <v>19.670000000000002</v>
      </c>
      <c r="B26">
        <v>617.28</v>
      </c>
      <c r="E26">
        <v>19.28</v>
      </c>
      <c r="F26">
        <v>587.86</v>
      </c>
      <c r="K26" s="33">
        <v>18.18</v>
      </c>
      <c r="L26" s="36">
        <v>603.05999999999995</v>
      </c>
      <c r="N26" s="33">
        <v>18.63</v>
      </c>
      <c r="O26" s="36">
        <v>597.87599999999998</v>
      </c>
      <c r="Q26" s="25">
        <v>19.02</v>
      </c>
      <c r="R26" s="25">
        <f t="shared" si="0"/>
        <v>19.475000000000001</v>
      </c>
      <c r="S26" s="25">
        <v>91</v>
      </c>
      <c r="T26" s="25">
        <v>10.199999999999999</v>
      </c>
      <c r="U26" s="25">
        <v>4.1970000000000001</v>
      </c>
      <c r="V26" s="25">
        <v>7.4400000000000004E-3</v>
      </c>
      <c r="W26" s="25">
        <f t="shared" si="1"/>
        <v>564.11290322580646</v>
      </c>
    </row>
    <row r="27" spans="1:23">
      <c r="A27" s="33">
        <v>20.67</v>
      </c>
      <c r="B27">
        <v>604.85</v>
      </c>
      <c r="E27">
        <v>20.32</v>
      </c>
      <c r="F27">
        <v>590.25</v>
      </c>
      <c r="K27" s="33">
        <v>19.13</v>
      </c>
      <c r="L27" s="36">
        <v>597.82000000000005</v>
      </c>
      <c r="N27" s="33">
        <v>19.62</v>
      </c>
      <c r="O27" s="36">
        <v>599.36099999999999</v>
      </c>
      <c r="Q27" s="25">
        <v>19.93</v>
      </c>
      <c r="R27" s="25">
        <f t="shared" si="0"/>
        <v>20.395</v>
      </c>
      <c r="S27" s="25">
        <v>93</v>
      </c>
      <c r="T27" s="25">
        <v>10.199999999999999</v>
      </c>
      <c r="U27" s="25">
        <v>4.3159999999999998</v>
      </c>
      <c r="V27" s="25">
        <v>7.6E-3</v>
      </c>
      <c r="W27" s="25">
        <f t="shared" si="1"/>
        <v>567.8947368421052</v>
      </c>
    </row>
    <row r="28" spans="1:23">
      <c r="A28" s="33">
        <v>21.74</v>
      </c>
      <c r="B28">
        <v>616.98</v>
      </c>
      <c r="E28">
        <v>21.35</v>
      </c>
      <c r="F28">
        <v>602.20000000000005</v>
      </c>
      <c r="K28" s="33">
        <v>20.125</v>
      </c>
      <c r="L28" s="36">
        <v>621.28</v>
      </c>
      <c r="N28" s="33"/>
      <c r="O28" s="36"/>
      <c r="Q28" s="25">
        <v>20.86</v>
      </c>
      <c r="R28" s="25">
        <f t="shared" si="0"/>
        <v>21.384999999999998</v>
      </c>
      <c r="S28" s="25">
        <v>105</v>
      </c>
      <c r="T28" s="25">
        <v>10.199999999999999</v>
      </c>
      <c r="U28" s="25">
        <v>4.9589999999999996</v>
      </c>
      <c r="V28" s="25">
        <v>8.5800000000000008E-3</v>
      </c>
      <c r="W28" s="25">
        <f t="shared" si="1"/>
        <v>577.97202797202783</v>
      </c>
    </row>
    <row r="29" spans="1:23">
      <c r="A29" s="33">
        <v>22.78</v>
      </c>
      <c r="B29">
        <v>621.94000000000005</v>
      </c>
      <c r="E29">
        <v>22.38</v>
      </c>
      <c r="F29">
        <v>599.69000000000005</v>
      </c>
      <c r="K29" s="33">
        <v>21.145</v>
      </c>
      <c r="L29" s="36">
        <v>619.29999999999995</v>
      </c>
      <c r="N29" s="33"/>
      <c r="O29" s="36"/>
      <c r="Q29" s="25">
        <v>21.91</v>
      </c>
      <c r="R29" s="25">
        <f t="shared" si="0"/>
        <v>22.439999999999998</v>
      </c>
      <c r="S29" s="25">
        <v>106</v>
      </c>
      <c r="T29" s="25">
        <v>10.199999999999999</v>
      </c>
      <c r="U29" s="25">
        <v>4.9850000000000003</v>
      </c>
      <c r="V29" s="25">
        <v>8.6599999999999993E-3</v>
      </c>
      <c r="W29" s="25">
        <f t="shared" si="1"/>
        <v>575.63510392609703</v>
      </c>
    </row>
    <row r="30" spans="1:23">
      <c r="A30" s="33">
        <v>23.84</v>
      </c>
      <c r="B30">
        <v>624.03</v>
      </c>
      <c r="E30">
        <v>23.42</v>
      </c>
      <c r="F30">
        <v>614.91</v>
      </c>
      <c r="K30" s="33">
        <v>22.1</v>
      </c>
      <c r="L30" s="36">
        <v>626.45000000000005</v>
      </c>
      <c r="N30" s="33"/>
      <c r="O30" s="36"/>
      <c r="Q30" s="25">
        <v>22.97</v>
      </c>
      <c r="R30" s="25">
        <f>((Q30+1.05)-Q30)/2+Q30</f>
        <v>23.494999999999997</v>
      </c>
      <c r="S30" s="25">
        <v>105</v>
      </c>
      <c r="T30" s="25">
        <v>10.199999999999999</v>
      </c>
      <c r="U30" s="25">
        <v>4.9809999999999999</v>
      </c>
      <c r="V30" s="25">
        <v>8.5800000000000008E-3</v>
      </c>
      <c r="W30" s="25">
        <f t="shared" si="1"/>
        <v>580.53613053613049</v>
      </c>
    </row>
    <row r="31" spans="1:23">
      <c r="A31" s="33">
        <v>24.92</v>
      </c>
      <c r="B31">
        <v>628.47</v>
      </c>
      <c r="E31">
        <v>24.44</v>
      </c>
      <c r="F31">
        <v>615.87</v>
      </c>
      <c r="K31" s="33">
        <v>23.03</v>
      </c>
      <c r="L31" s="36">
        <v>628.46</v>
      </c>
      <c r="N31" s="33"/>
      <c r="O31" s="36"/>
    </row>
    <row r="32" spans="1:23">
      <c r="A32" s="33">
        <v>25.92</v>
      </c>
      <c r="B32">
        <v>641.79</v>
      </c>
      <c r="E32">
        <v>25.46</v>
      </c>
      <c r="F32">
        <v>614.27</v>
      </c>
      <c r="K32" s="33">
        <v>23.96</v>
      </c>
      <c r="L32" s="36">
        <v>627.38</v>
      </c>
      <c r="N32" s="33"/>
      <c r="O32" s="36"/>
    </row>
    <row r="33" spans="1:15">
      <c r="A33" s="33">
        <v>26.92</v>
      </c>
      <c r="B33">
        <v>644.92999999999995</v>
      </c>
      <c r="E33">
        <v>26.51</v>
      </c>
      <c r="F33">
        <v>622.19000000000005</v>
      </c>
      <c r="K33" s="33">
        <v>24.88</v>
      </c>
      <c r="L33" s="36">
        <v>639.95000000000005</v>
      </c>
      <c r="N33" s="33"/>
      <c r="O33" s="36"/>
    </row>
    <row r="34" spans="1:15">
      <c r="A34" s="33">
        <v>27.92</v>
      </c>
      <c r="B34">
        <v>638.44000000000005</v>
      </c>
      <c r="E34">
        <v>27.53</v>
      </c>
      <c r="F34">
        <v>625.77</v>
      </c>
      <c r="K34" s="33">
        <v>25.81</v>
      </c>
      <c r="L34" s="36">
        <v>644.61</v>
      </c>
      <c r="N34" s="33"/>
      <c r="O34" s="36"/>
    </row>
    <row r="35" spans="1:15">
      <c r="A35" s="33">
        <v>28.94</v>
      </c>
      <c r="B35">
        <v>645.96</v>
      </c>
      <c r="E35">
        <v>28.55</v>
      </c>
      <c r="F35">
        <v>641.16999999999996</v>
      </c>
      <c r="K35" s="33">
        <v>26.75</v>
      </c>
      <c r="L35" s="36">
        <v>646.73</v>
      </c>
      <c r="N35" s="33"/>
      <c r="O35" s="36"/>
    </row>
    <row r="36" spans="1:15">
      <c r="A36" s="33">
        <v>29.96</v>
      </c>
      <c r="B36">
        <v>660.94</v>
      </c>
      <c r="E36">
        <v>29.57</v>
      </c>
      <c r="F36">
        <v>639.61</v>
      </c>
      <c r="K36" s="33">
        <v>27.695</v>
      </c>
      <c r="L36" s="36">
        <v>648.42999999999995</v>
      </c>
      <c r="N36" s="33"/>
      <c r="O36" s="36"/>
    </row>
    <row r="37" spans="1:15">
      <c r="A37" s="33">
        <v>30.97</v>
      </c>
      <c r="B37">
        <v>653.98</v>
      </c>
      <c r="E37">
        <v>30.61</v>
      </c>
      <c r="F37">
        <v>640.59</v>
      </c>
      <c r="K37" s="33">
        <v>28.645</v>
      </c>
      <c r="L37" s="36">
        <v>650.16</v>
      </c>
      <c r="N37" s="33"/>
      <c r="O37" s="36"/>
    </row>
    <row r="38" spans="1:15">
      <c r="A38" s="33">
        <v>31.96</v>
      </c>
      <c r="B38">
        <v>650.74</v>
      </c>
      <c r="E38">
        <v>31.66</v>
      </c>
      <c r="F38">
        <v>647.91999999999996</v>
      </c>
      <c r="K38" s="33">
        <v>29.58</v>
      </c>
      <c r="L38" s="36">
        <v>650.57000000000005</v>
      </c>
      <c r="N38" s="33"/>
      <c r="O38" s="36"/>
    </row>
    <row r="39" spans="1:15">
      <c r="A39" s="33">
        <v>32.97</v>
      </c>
      <c r="B39">
        <v>651.34</v>
      </c>
      <c r="E39">
        <v>32.700000000000003</v>
      </c>
      <c r="F39">
        <v>652.29999999999995</v>
      </c>
      <c r="K39" s="33">
        <v>30.515000000000001</v>
      </c>
      <c r="L39" s="36">
        <v>654.71</v>
      </c>
      <c r="N39" s="33"/>
      <c r="O39" s="36"/>
    </row>
    <row r="40" spans="1:15">
      <c r="A40" s="33">
        <v>33.97</v>
      </c>
      <c r="B40">
        <v>673.84</v>
      </c>
      <c r="E40">
        <v>33.75</v>
      </c>
      <c r="F40">
        <v>654.57000000000005</v>
      </c>
      <c r="K40" s="33">
        <v>31.52</v>
      </c>
      <c r="L40" s="36">
        <v>669.36</v>
      </c>
      <c r="N40" s="33"/>
      <c r="O40" s="36"/>
    </row>
    <row r="41" spans="1:15">
      <c r="A41" s="33">
        <v>35.049999999999997</v>
      </c>
      <c r="B41">
        <v>684.89</v>
      </c>
      <c r="E41">
        <v>34.78</v>
      </c>
      <c r="F41">
        <v>655.56</v>
      </c>
      <c r="K41" s="33">
        <v>32.520000000000003</v>
      </c>
      <c r="L41" s="36">
        <v>679.68</v>
      </c>
      <c r="N41" s="33"/>
      <c r="O41" s="36"/>
    </row>
    <row r="42" spans="1:15">
      <c r="A42" s="33">
        <v>35.97</v>
      </c>
      <c r="B42">
        <v>703.61</v>
      </c>
      <c r="E42">
        <v>35.770000000000003</v>
      </c>
      <c r="F42">
        <v>667.03</v>
      </c>
      <c r="K42" s="33">
        <v>33.46</v>
      </c>
      <c r="L42" s="36">
        <v>683.1</v>
      </c>
      <c r="N42" s="33"/>
      <c r="O42" s="36"/>
    </row>
    <row r="43" spans="1:15">
      <c r="A43" s="33">
        <v>36.96</v>
      </c>
      <c r="B43">
        <v>670.35</v>
      </c>
      <c r="E43">
        <v>36.82</v>
      </c>
      <c r="F43">
        <v>671.78</v>
      </c>
      <c r="K43" s="33">
        <v>34.39</v>
      </c>
      <c r="L43" s="36">
        <v>674.51</v>
      </c>
      <c r="N43" s="33"/>
      <c r="O43" s="36"/>
    </row>
    <row r="44" spans="1:15">
      <c r="A44" s="33">
        <v>38.04</v>
      </c>
      <c r="B44">
        <v>688.41</v>
      </c>
      <c r="E44">
        <v>37.869999999999997</v>
      </c>
      <c r="F44">
        <v>673.32</v>
      </c>
      <c r="K44" s="33">
        <v>35.314999999999998</v>
      </c>
      <c r="L44" s="36">
        <v>677.67</v>
      </c>
      <c r="N44" s="33"/>
      <c r="O44" s="36"/>
    </row>
    <row r="45" spans="1:15">
      <c r="A45" s="33">
        <v>39.04</v>
      </c>
      <c r="B45">
        <v>680.68</v>
      </c>
      <c r="E45">
        <v>38.909999999999997</v>
      </c>
      <c r="F45">
        <v>677.69</v>
      </c>
      <c r="K45" s="33">
        <v>36.299999999999997</v>
      </c>
      <c r="L45" s="36">
        <v>689.87</v>
      </c>
      <c r="N45" s="33"/>
      <c r="O45" s="36"/>
    </row>
    <row r="46" spans="1:15">
      <c r="A46" s="33">
        <v>40.07</v>
      </c>
      <c r="B46">
        <v>694.41</v>
      </c>
      <c r="E46">
        <v>39.96</v>
      </c>
      <c r="F46">
        <v>689.83</v>
      </c>
      <c r="K46" s="33">
        <v>37.325000000000003</v>
      </c>
      <c r="L46" s="36">
        <v>687.93</v>
      </c>
      <c r="N46" s="33"/>
      <c r="O46" s="36"/>
    </row>
    <row r="47" spans="1:15">
      <c r="A47" s="33">
        <v>41.12</v>
      </c>
      <c r="B47">
        <v>727.06</v>
      </c>
      <c r="E47">
        <v>41</v>
      </c>
      <c r="F47">
        <v>689.75</v>
      </c>
      <c r="K47" s="33">
        <v>38.305</v>
      </c>
      <c r="L47" s="36">
        <v>690.65</v>
      </c>
      <c r="N47" s="33"/>
      <c r="O47" s="36"/>
    </row>
    <row r="48" spans="1:15">
      <c r="A48" s="33">
        <v>42.16</v>
      </c>
      <c r="B48">
        <v>711.28</v>
      </c>
      <c r="E48">
        <v>42.05</v>
      </c>
      <c r="F48">
        <v>673.56</v>
      </c>
      <c r="K48" s="33">
        <v>39.255000000000003</v>
      </c>
      <c r="L48" s="36">
        <v>695.06</v>
      </c>
      <c r="N48" s="33"/>
      <c r="O48" s="36"/>
    </row>
    <row r="49" spans="1:15">
      <c r="A49" s="33">
        <v>43.21</v>
      </c>
      <c r="B49">
        <v>711.26</v>
      </c>
      <c r="E49">
        <v>43.09</v>
      </c>
      <c r="F49">
        <v>689.7</v>
      </c>
      <c r="K49" s="33">
        <v>40.204999999999998</v>
      </c>
      <c r="L49" s="36">
        <v>704.34</v>
      </c>
      <c r="N49" s="33"/>
      <c r="O49" s="36"/>
    </row>
    <row r="50" spans="1:15">
      <c r="A50" s="33">
        <v>44.28</v>
      </c>
      <c r="B50">
        <v>700.91</v>
      </c>
      <c r="E50">
        <v>44.04</v>
      </c>
      <c r="F50">
        <v>694.29</v>
      </c>
      <c r="K50" s="33">
        <v>41.11</v>
      </c>
      <c r="L50" s="36">
        <v>700.4</v>
      </c>
      <c r="N50" s="33"/>
      <c r="O50" s="36"/>
    </row>
    <row r="51" spans="1:15">
      <c r="A51" s="33">
        <v>45.3</v>
      </c>
      <c r="B51">
        <v>705.08</v>
      </c>
      <c r="E51">
        <v>45.04</v>
      </c>
      <c r="F51">
        <v>697.66</v>
      </c>
      <c r="K51" s="33">
        <v>42.09</v>
      </c>
      <c r="L51" s="36">
        <v>705.21</v>
      </c>
      <c r="N51" s="33"/>
      <c r="O51" s="36"/>
    </row>
    <row r="52" spans="1:15">
      <c r="A52" s="33">
        <v>46.33</v>
      </c>
      <c r="B52">
        <v>718.58</v>
      </c>
      <c r="E52">
        <v>45.92</v>
      </c>
      <c r="F52">
        <v>706.71</v>
      </c>
      <c r="K52" s="33">
        <v>43.11</v>
      </c>
      <c r="L52" s="36">
        <v>720.48</v>
      </c>
      <c r="N52" s="33"/>
      <c r="O52" s="36"/>
    </row>
    <row r="53" spans="1:15">
      <c r="A53" s="33">
        <v>47.27</v>
      </c>
      <c r="B53">
        <v>720.94</v>
      </c>
      <c r="E53">
        <v>46.92</v>
      </c>
      <c r="F53">
        <v>713.24</v>
      </c>
      <c r="K53" s="33">
        <v>44.064999999999998</v>
      </c>
      <c r="L53" s="36">
        <v>719.7</v>
      </c>
      <c r="N53" s="33"/>
      <c r="O53" s="36"/>
    </row>
    <row r="54" spans="1:15">
      <c r="A54" s="33">
        <v>48.3</v>
      </c>
      <c r="B54">
        <v>713.26</v>
      </c>
      <c r="E54">
        <v>47.84</v>
      </c>
      <c r="F54">
        <v>716.8</v>
      </c>
      <c r="K54" s="33">
        <v>45.024999999999999</v>
      </c>
      <c r="L54" s="36">
        <v>726.21</v>
      </c>
      <c r="N54" s="33"/>
      <c r="O54" s="36"/>
    </row>
    <row r="55" spans="1:15">
      <c r="A55" s="33">
        <v>49.33</v>
      </c>
      <c r="B55">
        <v>741.57</v>
      </c>
      <c r="E55">
        <v>48.75</v>
      </c>
      <c r="F55">
        <v>714.54</v>
      </c>
      <c r="K55" s="33">
        <v>45.895000000000003</v>
      </c>
      <c r="L55" s="36">
        <v>729.37</v>
      </c>
      <c r="N55" s="33"/>
      <c r="O55" s="36"/>
    </row>
    <row r="56" spans="1:15">
      <c r="A56" s="33">
        <v>50.33</v>
      </c>
      <c r="B56">
        <v>737.63</v>
      </c>
      <c r="E56">
        <v>49.76</v>
      </c>
      <c r="F56">
        <v>719.93</v>
      </c>
      <c r="K56" s="33">
        <v>46.8</v>
      </c>
      <c r="L56" s="36">
        <v>727.65</v>
      </c>
      <c r="N56" s="33"/>
      <c r="O56" s="36"/>
    </row>
    <row r="57" spans="1:15">
      <c r="A57" s="33">
        <v>51.32</v>
      </c>
      <c r="B57">
        <v>745.34</v>
      </c>
      <c r="E57">
        <v>50.86</v>
      </c>
      <c r="F57">
        <v>723.63</v>
      </c>
      <c r="K57" s="33">
        <v>47.84</v>
      </c>
      <c r="L57" s="36">
        <v>725.88</v>
      </c>
      <c r="N57" s="33"/>
      <c r="O57" s="36"/>
    </row>
    <row r="58" spans="1:15">
      <c r="A58" s="33">
        <v>52.32</v>
      </c>
      <c r="B58">
        <v>740.83</v>
      </c>
      <c r="E58">
        <v>51.86</v>
      </c>
      <c r="F58">
        <v>732.27</v>
      </c>
      <c r="K58" s="33">
        <v>48.89</v>
      </c>
      <c r="L58" s="36">
        <v>737.47</v>
      </c>
      <c r="N58" s="33"/>
      <c r="O58" s="36"/>
    </row>
    <row r="59" spans="1:15">
      <c r="A59" s="33">
        <v>53.35</v>
      </c>
      <c r="B59">
        <v>750.24</v>
      </c>
      <c r="E59">
        <v>52.86</v>
      </c>
      <c r="F59">
        <v>734.78</v>
      </c>
      <c r="K59" s="33">
        <v>49.85</v>
      </c>
      <c r="L59" s="36">
        <v>738.1</v>
      </c>
      <c r="N59" s="33"/>
      <c r="O59" s="36"/>
    </row>
    <row r="60" spans="1:15">
      <c r="A60" s="33">
        <v>54.25</v>
      </c>
      <c r="B60">
        <v>754.99</v>
      </c>
      <c r="E60">
        <v>53.9</v>
      </c>
      <c r="F60">
        <v>731.36</v>
      </c>
      <c r="K60" s="33">
        <v>50.805</v>
      </c>
      <c r="L60" s="36">
        <v>742.92</v>
      </c>
      <c r="N60" s="33"/>
      <c r="O60" s="36"/>
    </row>
    <row r="61" spans="1:15">
      <c r="A61" s="33">
        <v>55.27</v>
      </c>
      <c r="B61">
        <v>755.89</v>
      </c>
      <c r="E61">
        <v>54.97</v>
      </c>
      <c r="F61">
        <v>740.05</v>
      </c>
      <c r="K61" s="33">
        <v>51.81</v>
      </c>
      <c r="L61" s="36">
        <v>747.91</v>
      </c>
      <c r="N61" s="33"/>
      <c r="O61" s="36"/>
    </row>
    <row r="62" spans="1:15">
      <c r="A62" s="33">
        <v>56.27</v>
      </c>
      <c r="B62">
        <v>753.52</v>
      </c>
      <c r="E62">
        <v>56.01</v>
      </c>
      <c r="F62">
        <v>751.32</v>
      </c>
      <c r="K62" s="33">
        <v>52.784999999999997</v>
      </c>
      <c r="L62" s="36">
        <v>752.8</v>
      </c>
      <c r="N62" s="33"/>
      <c r="O62" s="36"/>
    </row>
    <row r="63" spans="1:15">
      <c r="A63" s="33">
        <v>57.29</v>
      </c>
      <c r="B63">
        <v>753.35</v>
      </c>
      <c r="E63">
        <v>57.06</v>
      </c>
      <c r="F63">
        <v>743.25</v>
      </c>
      <c r="K63" s="33">
        <v>53.78</v>
      </c>
      <c r="L63" s="36">
        <v>761.04</v>
      </c>
      <c r="N63" s="33"/>
      <c r="O63" s="36"/>
    </row>
    <row r="64" spans="1:15">
      <c r="A64" s="33">
        <v>58.24</v>
      </c>
      <c r="B64">
        <v>778</v>
      </c>
      <c r="E64">
        <v>58.02</v>
      </c>
      <c r="F64">
        <v>749.6</v>
      </c>
      <c r="K64" s="33">
        <v>54.76</v>
      </c>
      <c r="L64" s="36">
        <v>756.21</v>
      </c>
      <c r="N64" s="33"/>
      <c r="O64" s="36"/>
    </row>
    <row r="65" spans="1:15">
      <c r="A65" s="33">
        <v>59.23</v>
      </c>
      <c r="B65">
        <v>766.57</v>
      </c>
      <c r="E65">
        <v>59.07</v>
      </c>
      <c r="F65">
        <v>762.4</v>
      </c>
      <c r="K65" s="33">
        <v>55.685000000000002</v>
      </c>
      <c r="L65" s="36">
        <v>778.18</v>
      </c>
      <c r="N65" s="33"/>
      <c r="O65" s="36"/>
    </row>
    <row r="66" spans="1:15">
      <c r="A66" s="33">
        <v>60.28</v>
      </c>
      <c r="B66">
        <v>779.95</v>
      </c>
      <c r="E66">
        <v>60.12</v>
      </c>
      <c r="F66">
        <v>772.24</v>
      </c>
      <c r="K66" s="33">
        <v>56.615000000000002</v>
      </c>
      <c r="L66" s="36">
        <v>778.52</v>
      </c>
      <c r="N66" s="33"/>
      <c r="O66" s="36"/>
    </row>
    <row r="67" spans="1:15">
      <c r="A67" s="33">
        <v>61.21</v>
      </c>
      <c r="B67">
        <v>765.1</v>
      </c>
      <c r="E67">
        <v>61.17</v>
      </c>
      <c r="F67">
        <v>768.66</v>
      </c>
      <c r="K67" s="33">
        <v>57.615000000000002</v>
      </c>
      <c r="L67" s="36">
        <v>778.87</v>
      </c>
      <c r="N67" s="33"/>
      <c r="O67" s="36"/>
    </row>
    <row r="68" spans="1:15">
      <c r="A68" s="33">
        <v>62.23</v>
      </c>
      <c r="B68">
        <v>789.05</v>
      </c>
      <c r="E68">
        <v>62.21</v>
      </c>
      <c r="F68">
        <v>772.47</v>
      </c>
      <c r="K68" s="33">
        <v>58.59</v>
      </c>
      <c r="L68" s="36">
        <v>780.95</v>
      </c>
      <c r="N68" s="33"/>
      <c r="O68" s="36"/>
    </row>
    <row r="69" spans="1:15">
      <c r="A69" s="33">
        <v>63.27</v>
      </c>
      <c r="B69">
        <v>781.78</v>
      </c>
      <c r="E69">
        <v>63.26</v>
      </c>
      <c r="F69">
        <v>774.23</v>
      </c>
      <c r="K69" s="33">
        <v>59.405000000000001</v>
      </c>
      <c r="L69" s="36">
        <v>780.4</v>
      </c>
      <c r="N69" s="33"/>
      <c r="O69" s="36"/>
    </row>
    <row r="70" spans="1:15">
      <c r="A70" s="33">
        <v>64.27</v>
      </c>
      <c r="B70">
        <v>791.58</v>
      </c>
      <c r="E70">
        <v>64.239999999999995</v>
      </c>
      <c r="F70">
        <v>770.32</v>
      </c>
      <c r="K70" s="33">
        <v>60.274999999999999</v>
      </c>
      <c r="L70" s="36">
        <v>804.19</v>
      </c>
      <c r="N70" s="33"/>
      <c r="O70" s="36"/>
    </row>
    <row r="71" spans="1:15">
      <c r="A71" s="33">
        <v>65.239999999999995</v>
      </c>
      <c r="B71">
        <v>778.64</v>
      </c>
      <c r="E71">
        <v>65.290000000000006</v>
      </c>
      <c r="F71">
        <v>785.58</v>
      </c>
      <c r="K71" s="33">
        <v>61.3</v>
      </c>
      <c r="L71" s="36">
        <v>793.78</v>
      </c>
      <c r="N71" s="33"/>
      <c r="O71" s="36"/>
    </row>
    <row r="72" spans="1:15">
      <c r="A72" s="33">
        <v>66.239999999999995</v>
      </c>
      <c r="E72">
        <v>66.27</v>
      </c>
      <c r="F72">
        <v>787.57</v>
      </c>
      <c r="K72" s="33">
        <v>62.34</v>
      </c>
      <c r="L72" s="36">
        <v>793.92</v>
      </c>
      <c r="N72" s="33"/>
      <c r="O72" s="36"/>
    </row>
    <row r="73" spans="1:15">
      <c r="A73" s="33">
        <v>67.290000000000006</v>
      </c>
      <c r="B73">
        <v>799.25</v>
      </c>
      <c r="E73">
        <v>67.33</v>
      </c>
      <c r="F73">
        <v>795.9</v>
      </c>
      <c r="K73" s="33">
        <v>63.384999999999998</v>
      </c>
      <c r="L73" s="36">
        <v>796.05</v>
      </c>
      <c r="N73" s="33"/>
      <c r="O73" s="36"/>
    </row>
    <row r="74" spans="1:15">
      <c r="A74" s="33">
        <v>68.34</v>
      </c>
      <c r="B74">
        <v>792.72</v>
      </c>
      <c r="E74">
        <v>68.38</v>
      </c>
      <c r="F74">
        <v>800.18</v>
      </c>
      <c r="K74" s="33">
        <v>64.430000000000007</v>
      </c>
      <c r="L74" s="36" t="s">
        <v>306</v>
      </c>
      <c r="N74" s="33"/>
      <c r="O74" s="36"/>
    </row>
    <row r="75" spans="1:15">
      <c r="A75" s="33">
        <v>69.33</v>
      </c>
      <c r="E75">
        <v>69.430000000000007</v>
      </c>
      <c r="F75">
        <v>800.18</v>
      </c>
      <c r="K75" s="33">
        <v>65.474999999999994</v>
      </c>
      <c r="L75" s="36" t="s">
        <v>306</v>
      </c>
      <c r="N75" s="33"/>
      <c r="O75" s="36"/>
    </row>
    <row r="76" spans="1:15">
      <c r="A76" s="33">
        <v>70.37</v>
      </c>
      <c r="E76">
        <v>70.48</v>
      </c>
      <c r="F76">
        <v>798.28</v>
      </c>
      <c r="K76" s="33">
        <v>66.5</v>
      </c>
      <c r="L76" s="36" t="s">
        <v>306</v>
      </c>
      <c r="N76" s="33"/>
      <c r="O76" s="36"/>
    </row>
    <row r="77" spans="1:15">
      <c r="A77" s="33">
        <v>71.39</v>
      </c>
      <c r="B77">
        <v>816.84</v>
      </c>
      <c r="E77">
        <v>71.53</v>
      </c>
      <c r="F77">
        <v>791.26</v>
      </c>
      <c r="K77" s="33">
        <v>67.525000000000006</v>
      </c>
      <c r="L77" s="36" t="s">
        <v>306</v>
      </c>
      <c r="N77" s="33"/>
      <c r="O77" s="36"/>
    </row>
    <row r="78" spans="1:15">
      <c r="A78" s="33">
        <v>72.430000000000007</v>
      </c>
      <c r="B78">
        <v>813.54</v>
      </c>
      <c r="E78">
        <v>72.58</v>
      </c>
      <c r="F78">
        <v>812.54</v>
      </c>
      <c r="K78" s="33">
        <v>68.504999999999995</v>
      </c>
      <c r="L78" s="36">
        <v>774.01</v>
      </c>
      <c r="N78" s="33"/>
      <c r="O78" s="36"/>
    </row>
    <row r="79" spans="1:15">
      <c r="A79" s="33">
        <v>73.42</v>
      </c>
      <c r="B79">
        <v>815.29</v>
      </c>
      <c r="E79">
        <v>73.66</v>
      </c>
      <c r="F79">
        <v>801.14</v>
      </c>
      <c r="K79" s="33">
        <v>69.415000000000006</v>
      </c>
      <c r="L79" s="36">
        <v>821.02</v>
      </c>
      <c r="N79" s="33"/>
      <c r="O79" s="36"/>
    </row>
    <row r="80" spans="1:15">
      <c r="A80" s="33">
        <v>74.47</v>
      </c>
      <c r="B80">
        <v>832.07</v>
      </c>
      <c r="E80">
        <v>74.709999999999994</v>
      </c>
      <c r="F80">
        <v>809.06</v>
      </c>
      <c r="K80" s="33">
        <v>70.42</v>
      </c>
      <c r="L80" s="36">
        <v>801.22</v>
      </c>
      <c r="N80" s="33"/>
      <c r="O80" s="36"/>
    </row>
    <row r="81" spans="1:15">
      <c r="A81" s="33">
        <v>75.510000000000005</v>
      </c>
      <c r="B81">
        <v>814.45</v>
      </c>
      <c r="E81">
        <v>75.7</v>
      </c>
      <c r="F81">
        <v>806.61</v>
      </c>
      <c r="K81" s="33">
        <v>71.495000000000005</v>
      </c>
      <c r="L81" s="36">
        <v>811.08</v>
      </c>
      <c r="N81" s="33"/>
      <c r="O81" s="36"/>
    </row>
    <row r="82" spans="1:15">
      <c r="A82" s="33">
        <v>76.56</v>
      </c>
      <c r="B82">
        <v>810.36</v>
      </c>
      <c r="E82">
        <v>76.75</v>
      </c>
      <c r="F82">
        <v>804.11</v>
      </c>
      <c r="K82" s="33">
        <v>72.564999999999998</v>
      </c>
      <c r="L82" s="36">
        <v>798.04</v>
      </c>
      <c r="N82" s="33"/>
      <c r="O82" s="36"/>
    </row>
    <row r="83" spans="1:15">
      <c r="A83" s="33">
        <v>77.53</v>
      </c>
      <c r="B83">
        <v>828.82</v>
      </c>
      <c r="E83">
        <v>77.8</v>
      </c>
      <c r="F83">
        <v>803.16</v>
      </c>
      <c r="K83" s="33">
        <v>73.635000000000005</v>
      </c>
      <c r="L83" s="36">
        <v>821.75</v>
      </c>
      <c r="N83" s="33"/>
      <c r="O83" s="36"/>
    </row>
    <row r="84" spans="1:15">
      <c r="A84" s="33">
        <v>78.599999999999994</v>
      </c>
      <c r="B84">
        <v>824.84</v>
      </c>
      <c r="E84">
        <v>78.849999999999994</v>
      </c>
      <c r="F84">
        <v>815.18</v>
      </c>
      <c r="K84" s="33">
        <v>74.644999999999996</v>
      </c>
      <c r="L84" s="36">
        <v>823.26</v>
      </c>
      <c r="N84" s="33"/>
      <c r="O84" s="36"/>
    </row>
    <row r="85" spans="1:15">
      <c r="A85" s="33">
        <v>79.59</v>
      </c>
      <c r="B85">
        <v>828.77</v>
      </c>
      <c r="E85">
        <v>79.900000000000006</v>
      </c>
      <c r="F85">
        <v>821.36</v>
      </c>
      <c r="K85" s="33">
        <v>75.655000000000001</v>
      </c>
      <c r="L85" s="36">
        <v>819.99</v>
      </c>
      <c r="N85" s="33"/>
      <c r="O85" s="36"/>
    </row>
    <row r="86" spans="1:15">
      <c r="A86" s="33">
        <v>80.58</v>
      </c>
      <c r="B86">
        <v>839.44</v>
      </c>
      <c r="E86">
        <v>80.95</v>
      </c>
      <c r="F86">
        <v>825.26</v>
      </c>
      <c r="K86" s="33">
        <v>76.704999999999998</v>
      </c>
      <c r="L86" s="36">
        <v>826.83</v>
      </c>
      <c r="N86" s="33"/>
      <c r="O86" s="36"/>
    </row>
    <row r="87" spans="1:15">
      <c r="A87" s="33">
        <v>81.52</v>
      </c>
      <c r="B87">
        <v>830.7</v>
      </c>
      <c r="E87">
        <v>81.88</v>
      </c>
      <c r="F87">
        <v>809.73</v>
      </c>
      <c r="K87" s="33">
        <v>77.7</v>
      </c>
      <c r="L87" s="36">
        <v>831.6</v>
      </c>
      <c r="N87" s="33"/>
      <c r="O87" s="36"/>
    </row>
    <row r="88" spans="1:15">
      <c r="A88" s="33">
        <v>82.49</v>
      </c>
      <c r="B88">
        <v>847.59</v>
      </c>
      <c r="E88">
        <v>82.83</v>
      </c>
      <c r="F88">
        <v>827.55</v>
      </c>
      <c r="K88" s="33">
        <v>78.724999999999994</v>
      </c>
      <c r="L88" s="36">
        <v>814.2</v>
      </c>
      <c r="N88" s="33"/>
      <c r="O88" s="36"/>
    </row>
    <row r="89" spans="1:15">
      <c r="A89" s="33">
        <v>83.43</v>
      </c>
      <c r="B89">
        <v>842.38</v>
      </c>
      <c r="E89">
        <v>83.88</v>
      </c>
      <c r="F89">
        <v>843.06</v>
      </c>
      <c r="K89" s="33">
        <v>79.825000000000003</v>
      </c>
      <c r="L89" s="36">
        <v>815.76</v>
      </c>
      <c r="N89" s="33"/>
      <c r="O89" s="36"/>
    </row>
    <row r="90" spans="1:15">
      <c r="A90" s="33">
        <v>84.36</v>
      </c>
      <c r="B90">
        <v>847.88</v>
      </c>
      <c r="E90">
        <v>84.8</v>
      </c>
      <c r="F90">
        <v>833.5</v>
      </c>
      <c r="K90" s="33">
        <v>80.894999999999996</v>
      </c>
      <c r="L90" s="36">
        <v>836.9</v>
      </c>
      <c r="N90" s="33"/>
      <c r="O90" s="36"/>
    </row>
    <row r="91" spans="1:15">
      <c r="A91" s="33">
        <v>85.36</v>
      </c>
      <c r="B91">
        <v>859.87</v>
      </c>
      <c r="E91">
        <v>85.84</v>
      </c>
      <c r="F91">
        <v>837.72</v>
      </c>
      <c r="K91" s="33">
        <v>81.954999999999998</v>
      </c>
      <c r="L91" s="36">
        <v>833.1</v>
      </c>
      <c r="N91" s="33"/>
      <c r="O91" s="36"/>
    </row>
    <row r="92" spans="1:15">
      <c r="A92" s="33">
        <v>86.35</v>
      </c>
      <c r="B92">
        <v>830.96</v>
      </c>
      <c r="E92">
        <v>86.84</v>
      </c>
      <c r="F92">
        <v>847.25</v>
      </c>
      <c r="K92" s="33">
        <v>83.025000000000006</v>
      </c>
      <c r="L92" s="36" t="s">
        <v>306</v>
      </c>
      <c r="N92" s="33"/>
      <c r="O92" s="36"/>
    </row>
    <row r="93" spans="1:15">
      <c r="A93" s="33">
        <v>87.4</v>
      </c>
      <c r="E93">
        <v>87.89</v>
      </c>
      <c r="F93">
        <v>841.16</v>
      </c>
      <c r="K93" s="33">
        <v>84.09</v>
      </c>
      <c r="L93" s="36">
        <v>818.2</v>
      </c>
      <c r="N93" s="33"/>
      <c r="O93" s="36"/>
    </row>
    <row r="94" spans="1:15">
      <c r="A94" s="33">
        <v>88.45</v>
      </c>
      <c r="E94">
        <v>88.93</v>
      </c>
      <c r="F94">
        <v>833.62</v>
      </c>
      <c r="K94" s="33">
        <v>85.16</v>
      </c>
      <c r="L94" s="36" t="s">
        <v>306</v>
      </c>
      <c r="N94" s="33"/>
      <c r="O94" s="36"/>
    </row>
    <row r="95" spans="1:15">
      <c r="A95" s="33">
        <v>89.5</v>
      </c>
      <c r="B95">
        <v>858.69</v>
      </c>
      <c r="E95">
        <v>89.82</v>
      </c>
      <c r="F95">
        <v>846.89</v>
      </c>
      <c r="K95" s="33">
        <v>86.23</v>
      </c>
      <c r="L95" s="36">
        <v>825</v>
      </c>
      <c r="N95" s="33"/>
      <c r="O95" s="36"/>
    </row>
    <row r="96" spans="1:15">
      <c r="A96" s="33">
        <v>90.56</v>
      </c>
      <c r="E96">
        <v>90.87</v>
      </c>
      <c r="F96">
        <v>835.14</v>
      </c>
      <c r="K96" s="33">
        <v>87.234999999999999</v>
      </c>
      <c r="L96" s="36">
        <v>852.35</v>
      </c>
      <c r="N96" s="33"/>
      <c r="O96" s="36"/>
    </row>
    <row r="97" spans="1:15">
      <c r="A97" s="33">
        <v>91.62</v>
      </c>
      <c r="E97">
        <v>91.93</v>
      </c>
      <c r="F97">
        <v>842.74</v>
      </c>
      <c r="K97" s="33">
        <v>88.24</v>
      </c>
      <c r="L97" s="36">
        <v>834.14</v>
      </c>
      <c r="N97" s="33"/>
      <c r="O97" s="36"/>
    </row>
    <row r="98" spans="1:15">
      <c r="A98" s="33">
        <v>92.68</v>
      </c>
      <c r="B98">
        <v>871.02</v>
      </c>
      <c r="E98">
        <v>92.98</v>
      </c>
      <c r="F98" t="s">
        <v>306</v>
      </c>
      <c r="K98" s="33">
        <v>89.305000000000007</v>
      </c>
      <c r="L98" s="36">
        <v>851.52</v>
      </c>
      <c r="N98" s="33"/>
      <c r="O98" s="36"/>
    </row>
    <row r="99" spans="1:15">
      <c r="A99" s="33">
        <v>93.58</v>
      </c>
      <c r="E99">
        <v>94.03</v>
      </c>
      <c r="F99">
        <v>830.04</v>
      </c>
      <c r="K99" s="33">
        <v>90.375</v>
      </c>
      <c r="L99" s="36">
        <v>848.07</v>
      </c>
      <c r="N99" s="33"/>
      <c r="O99" s="36"/>
    </row>
    <row r="100" spans="1:15">
      <c r="A100" s="33">
        <v>94.5</v>
      </c>
      <c r="B100">
        <v>852.21</v>
      </c>
      <c r="E100">
        <v>94.9</v>
      </c>
      <c r="F100">
        <v>870.31</v>
      </c>
      <c r="K100" s="33">
        <v>91.444999999999993</v>
      </c>
      <c r="L100" s="36">
        <v>818.09</v>
      </c>
      <c r="N100" s="33"/>
      <c r="O100" s="36"/>
    </row>
    <row r="101" spans="1:15">
      <c r="A101" s="33">
        <v>95.47</v>
      </c>
      <c r="E101">
        <v>95.88</v>
      </c>
      <c r="F101">
        <v>864.05</v>
      </c>
      <c r="K101" s="33">
        <v>92.47</v>
      </c>
      <c r="L101" s="36">
        <v>830.17</v>
      </c>
      <c r="N101" s="33"/>
      <c r="O101" s="36"/>
    </row>
    <row r="102" spans="1:15">
      <c r="A102" s="33">
        <v>96.53</v>
      </c>
      <c r="E102">
        <v>96.8</v>
      </c>
      <c r="F102">
        <v>847.73</v>
      </c>
      <c r="K102" s="33">
        <v>93.474999999999994</v>
      </c>
      <c r="L102" s="36">
        <v>859.63</v>
      </c>
      <c r="N102" s="33"/>
      <c r="O102" s="36"/>
    </row>
    <row r="103" spans="1:15">
      <c r="E103">
        <v>97.77</v>
      </c>
      <c r="F103">
        <v>838.95</v>
      </c>
      <c r="K103" s="33">
        <v>94.534999999999997</v>
      </c>
      <c r="L103" s="36">
        <v>836.78</v>
      </c>
      <c r="N103" s="33"/>
      <c r="O103" s="36"/>
    </row>
    <row r="104" spans="1:15">
      <c r="E104">
        <v>98.68</v>
      </c>
      <c r="F104">
        <v>857.79</v>
      </c>
      <c r="K104" s="33">
        <v>95.614999999999995</v>
      </c>
      <c r="L104" s="36" t="s">
        <v>306</v>
      </c>
      <c r="N104" s="33"/>
      <c r="O104" s="36"/>
    </row>
    <row r="105" spans="1:15">
      <c r="E105">
        <v>99.73</v>
      </c>
      <c r="F105">
        <v>860.04</v>
      </c>
      <c r="K105" s="33">
        <v>96.674999999999997</v>
      </c>
      <c r="L105" s="36">
        <v>841.5</v>
      </c>
      <c r="N105" s="33"/>
      <c r="O105" s="36"/>
    </row>
    <row r="106" spans="1:15">
      <c r="E106">
        <v>100.78</v>
      </c>
      <c r="F106">
        <v>859.79</v>
      </c>
      <c r="K106" s="33">
        <v>97.734999999999999</v>
      </c>
      <c r="L106" s="36">
        <v>862.93</v>
      </c>
      <c r="N106" s="33"/>
      <c r="O106" s="36"/>
    </row>
    <row r="107" spans="1:15">
      <c r="E107">
        <v>101.75</v>
      </c>
      <c r="F107">
        <v>845.71</v>
      </c>
      <c r="K107" s="33">
        <v>98.795000000000002</v>
      </c>
      <c r="L107" s="36">
        <v>862.58</v>
      </c>
      <c r="N107" s="33"/>
      <c r="O107" s="36"/>
    </row>
    <row r="108" spans="1:15">
      <c r="E108">
        <v>102.81</v>
      </c>
      <c r="F108">
        <v>867.16</v>
      </c>
      <c r="K108" s="33">
        <v>99.83</v>
      </c>
      <c r="L108" s="36" t="s">
        <v>306</v>
      </c>
      <c r="N108" s="33"/>
      <c r="O108" s="36"/>
    </row>
    <row r="109" spans="1:15">
      <c r="E109">
        <v>103.83</v>
      </c>
      <c r="F109">
        <v>865.02</v>
      </c>
      <c r="K109" s="33">
        <v>100.81</v>
      </c>
      <c r="L109" s="36">
        <v>845.88</v>
      </c>
      <c r="N109" s="33"/>
      <c r="O109" s="36"/>
    </row>
    <row r="110" spans="1:15">
      <c r="E110">
        <v>104.88</v>
      </c>
      <c r="F110">
        <v>873.2</v>
      </c>
      <c r="K110" s="33">
        <v>101.815</v>
      </c>
      <c r="L110" s="36">
        <v>869.69</v>
      </c>
      <c r="N110" s="33"/>
      <c r="O110" s="36"/>
    </row>
    <row r="111" spans="1:15">
      <c r="E111">
        <v>105.93</v>
      </c>
      <c r="F111">
        <v>864.66</v>
      </c>
    </row>
    <row r="112" spans="1:15">
      <c r="E112">
        <v>83.3</v>
      </c>
      <c r="F112">
        <v>841.68</v>
      </c>
    </row>
    <row r="113" spans="5:6">
      <c r="E113">
        <v>92.48</v>
      </c>
      <c r="F113">
        <v>862.98</v>
      </c>
    </row>
    <row r="114" spans="5:6">
      <c r="E114">
        <v>93.456000000000003</v>
      </c>
      <c r="F114">
        <v>863.24</v>
      </c>
    </row>
    <row r="115" spans="5:6">
      <c r="E115">
        <v>106.45</v>
      </c>
      <c r="F115">
        <v>876.44</v>
      </c>
    </row>
    <row r="116" spans="5:6">
      <c r="E116">
        <v>115.28</v>
      </c>
      <c r="F116">
        <v>857.56</v>
      </c>
    </row>
    <row r="117" spans="5:6">
      <c r="E117">
        <v>116.5</v>
      </c>
      <c r="F117">
        <v>865.13</v>
      </c>
    </row>
    <row r="118" spans="5:6">
      <c r="E118">
        <v>119.2</v>
      </c>
      <c r="F118">
        <v>875.47</v>
      </c>
    </row>
    <row r="119" spans="5:6">
      <c r="E119">
        <v>120.8</v>
      </c>
      <c r="F119">
        <v>875.09</v>
      </c>
    </row>
    <row r="120" spans="5:6">
      <c r="E120">
        <v>120.59</v>
      </c>
      <c r="F120">
        <v>878.05</v>
      </c>
    </row>
    <row r="121" spans="5:6">
      <c r="E121">
        <v>121.45</v>
      </c>
      <c r="F121">
        <v>875.83</v>
      </c>
    </row>
  </sheetData>
  <mergeCells count="1">
    <mergeCell ref="Q5:R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NASA U Cores 1995</vt:lpstr>
      <vt:lpstr>GITS 1996</vt:lpstr>
      <vt:lpstr>PARCA 1997 cores</vt:lpstr>
      <vt:lpstr>PARCA 1998 cores</vt:lpstr>
      <vt:lpstr>PARCA 1999 cores</vt:lpstr>
    </vt:vector>
  </TitlesOfParts>
  <Company>The Ohio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EMT</dc:creator>
  <cp:lastModifiedBy>IMAU UU</cp:lastModifiedBy>
  <dcterms:created xsi:type="dcterms:W3CDTF">2013-01-22T16:20:53Z</dcterms:created>
  <dcterms:modified xsi:type="dcterms:W3CDTF">2013-10-07T19:08:36Z</dcterms:modified>
</cp:coreProperties>
</file>